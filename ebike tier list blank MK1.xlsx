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wayland-my.sharepoint.com/personal/cvannocker_wayland_org/Documents/Documents/Downloads/"/>
    </mc:Choice>
  </mc:AlternateContent>
  <xr:revisionPtr revIDLastSave="0" documentId="8_{E7E30B8E-46F7-497C-B7DF-7E5288772D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ank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5" i="2" l="1" a="1"/>
  <c r="B5" i="2" s="1"/>
  <c r="O40" i="2" a="1"/>
  <c r="O40" i="2"/>
  <c r="N40" i="2"/>
  <c r="G40" i="2"/>
  <c r="E40" i="2"/>
  <c r="D40" i="2" a="1"/>
  <c r="D40" i="2"/>
  <c r="B40" i="2" a="1"/>
  <c r="B40" i="2"/>
  <c r="O39" i="2" a="1"/>
  <c r="O39" i="2"/>
  <c r="N39" i="2"/>
  <c r="G39" i="2"/>
  <c r="E39" i="2"/>
  <c r="D39" i="2" a="1"/>
  <c r="D39" i="2"/>
  <c r="B39" i="2" a="1"/>
  <c r="B39" i="2"/>
  <c r="O38" i="2" a="1"/>
  <c r="O38" i="2"/>
  <c r="N38" i="2"/>
  <c r="G38" i="2"/>
  <c r="E38" i="2"/>
  <c r="D38" i="2" a="1"/>
  <c r="D38" i="2"/>
  <c r="B38" i="2" a="1"/>
  <c r="B38" i="2"/>
  <c r="O37" i="2" a="1"/>
  <c r="O37" i="2"/>
  <c r="N37" i="2"/>
  <c r="G37" i="2"/>
  <c r="E37" i="2"/>
  <c r="D37" i="2" a="1"/>
  <c r="D37" i="2"/>
  <c r="B37" i="2" a="1"/>
  <c r="B37" i="2"/>
  <c r="O36" i="2" a="1"/>
  <c r="O36" i="2"/>
  <c r="N36" i="2"/>
  <c r="G36" i="2"/>
  <c r="E36" i="2"/>
  <c r="D36" i="2" a="1"/>
  <c r="D36" i="2"/>
  <c r="B36" i="2" a="1"/>
  <c r="B36" i="2"/>
  <c r="O35" i="2" a="1"/>
  <c r="O35" i="2"/>
  <c r="N35" i="2"/>
  <c r="G35" i="2"/>
  <c r="E35" i="2"/>
  <c r="D35" i="2" a="1"/>
  <c r="D35" i="2"/>
  <c r="B35" i="2" a="1"/>
  <c r="B35" i="2"/>
  <c r="O34" i="2" a="1"/>
  <c r="O34" i="2"/>
  <c r="N34" i="2"/>
  <c r="G34" i="2"/>
  <c r="E34" i="2"/>
  <c r="D34" i="2" a="1"/>
  <c r="D34" i="2"/>
  <c r="B34" i="2" a="1"/>
  <c r="B34" i="2"/>
  <c r="O33" i="2" a="1"/>
  <c r="O33" i="2"/>
  <c r="N33" i="2"/>
  <c r="G33" i="2"/>
  <c r="E33" i="2"/>
  <c r="D33" i="2" a="1"/>
  <c r="D33" i="2"/>
  <c r="B33" i="2" a="1"/>
  <c r="B33" i="2"/>
  <c r="O32" i="2" a="1"/>
  <c r="O32" i="2"/>
  <c r="N32" i="2"/>
  <c r="G32" i="2"/>
  <c r="E32" i="2"/>
  <c r="D32" i="2" a="1"/>
  <c r="D32" i="2"/>
  <c r="B32" i="2" a="1"/>
  <c r="B32" i="2"/>
  <c r="O31" i="2" a="1"/>
  <c r="O31" i="2"/>
  <c r="N31" i="2"/>
  <c r="G31" i="2"/>
  <c r="E31" i="2"/>
  <c r="D31" i="2" a="1"/>
  <c r="D31" i="2"/>
  <c r="B31" i="2" a="1"/>
  <c r="B31" i="2"/>
  <c r="O30" i="2" a="1"/>
  <c r="O30" i="2"/>
  <c r="N30" i="2"/>
  <c r="G30" i="2"/>
  <c r="E30" i="2"/>
  <c r="D30" i="2" a="1"/>
  <c r="D30" i="2"/>
  <c r="B30" i="2" a="1"/>
  <c r="B30" i="2"/>
  <c r="O29" i="2" a="1"/>
  <c r="O29" i="2"/>
  <c r="N29" i="2"/>
  <c r="G29" i="2"/>
  <c r="E29" i="2"/>
  <c r="D29" i="2" a="1"/>
  <c r="D29" i="2"/>
  <c r="B29" i="2" a="1"/>
  <c r="B29" i="2"/>
  <c r="O28" i="2" a="1"/>
  <c r="O28" i="2"/>
  <c r="N28" i="2"/>
  <c r="G28" i="2"/>
  <c r="E28" i="2"/>
  <c r="D28" i="2" a="1"/>
  <c r="D28" i="2"/>
  <c r="B28" i="2" a="1"/>
  <c r="B28" i="2"/>
  <c r="O27" i="2" a="1"/>
  <c r="O27" i="2"/>
  <c r="N27" i="2"/>
  <c r="G27" i="2"/>
  <c r="E27" i="2"/>
  <c r="D27" i="2" a="1"/>
  <c r="D27" i="2"/>
  <c r="B27" i="2" a="1"/>
  <c r="B27" i="2"/>
  <c r="O26" i="2" a="1"/>
  <c r="O26" i="2"/>
  <c r="N26" i="2"/>
  <c r="G26" i="2"/>
  <c r="E26" i="2"/>
  <c r="D26" i="2" a="1"/>
  <c r="D26" i="2"/>
  <c r="B26" i="2" a="1"/>
  <c r="B26" i="2"/>
  <c r="O25" i="2" a="1"/>
  <c r="O25" i="2"/>
  <c r="N25" i="2"/>
  <c r="G25" i="2"/>
  <c r="E25" i="2"/>
  <c r="D25" i="2" a="1"/>
  <c r="D25" i="2"/>
  <c r="B25" i="2" a="1"/>
  <c r="B25" i="2"/>
  <c r="O24" i="2" a="1"/>
  <c r="O24" i="2"/>
  <c r="N24" i="2"/>
  <c r="G24" i="2"/>
  <c r="E24" i="2"/>
  <c r="D24" i="2" a="1"/>
  <c r="D24" i="2"/>
  <c r="B24" i="2" a="1"/>
  <c r="B24" i="2"/>
  <c r="O23" i="2" a="1"/>
  <c r="O23" i="2"/>
  <c r="N23" i="2"/>
  <c r="G23" i="2"/>
  <c r="E23" i="2"/>
  <c r="D23" i="2" a="1"/>
  <c r="D23" i="2"/>
  <c r="B23" i="2" a="1"/>
  <c r="B23" i="2"/>
  <c r="O22" i="2" a="1"/>
  <c r="O22" i="2"/>
  <c r="N22" i="2"/>
  <c r="G22" i="2"/>
  <c r="E22" i="2"/>
  <c r="D22" i="2" a="1"/>
  <c r="D22" i="2"/>
  <c r="B22" i="2" a="1"/>
  <c r="B22" i="2"/>
  <c r="O21" i="2" a="1"/>
  <c r="O21" i="2"/>
  <c r="N21" i="2"/>
  <c r="G21" i="2"/>
  <c r="E21" i="2"/>
  <c r="D21" i="2" a="1"/>
  <c r="D21" i="2"/>
  <c r="B21" i="2" a="1"/>
  <c r="B21" i="2"/>
  <c r="O20" i="2" a="1"/>
  <c r="O20" i="2"/>
  <c r="N20" i="2"/>
  <c r="G20" i="2"/>
  <c r="E20" i="2"/>
  <c r="D20" i="2" a="1"/>
  <c r="D20" i="2"/>
  <c r="B20" i="2" a="1"/>
  <c r="B20" i="2"/>
  <c r="O19" i="2" a="1"/>
  <c r="O19" i="2"/>
  <c r="N19" i="2"/>
  <c r="G19" i="2"/>
  <c r="E19" i="2"/>
  <c r="D19" i="2" a="1"/>
  <c r="D19" i="2"/>
  <c r="B19" i="2" a="1"/>
  <c r="B19" i="2"/>
  <c r="O18" i="2" a="1"/>
  <c r="O18" i="2"/>
  <c r="N18" i="2"/>
  <c r="G18" i="2"/>
  <c r="E18" i="2"/>
  <c r="D18" i="2" a="1"/>
  <c r="D18" i="2"/>
  <c r="B18" i="2" a="1"/>
  <c r="B18" i="2"/>
  <c r="O17" i="2" a="1"/>
  <c r="O17" i="2"/>
  <c r="N17" i="2"/>
  <c r="G17" i="2"/>
  <c r="E17" i="2"/>
  <c r="D17" i="2" a="1"/>
  <c r="D17" i="2"/>
  <c r="B17" i="2" a="1"/>
  <c r="B17" i="2"/>
  <c r="O16" i="2" a="1"/>
  <c r="O16" i="2"/>
  <c r="N16" i="2"/>
  <c r="G16" i="2"/>
  <c r="E16" i="2"/>
  <c r="D16" i="2" a="1"/>
  <c r="D16" i="2"/>
  <c r="B16" i="2" a="1"/>
  <c r="B16" i="2"/>
  <c r="O15" i="2" a="1"/>
  <c r="O15" i="2"/>
  <c r="N15" i="2"/>
  <c r="G15" i="2"/>
  <c r="E15" i="2"/>
  <c r="D15" i="2" a="1"/>
  <c r="D15" i="2"/>
  <c r="B15" i="2" a="1"/>
  <c r="B15" i="2"/>
  <c r="O14" i="2" a="1"/>
  <c r="O14" i="2"/>
  <c r="N14" i="2"/>
  <c r="G14" i="2"/>
  <c r="E14" i="2"/>
  <c r="D14" i="2" a="1"/>
  <c r="D14" i="2"/>
  <c r="B14" i="2" a="1"/>
  <c r="B14" i="2"/>
  <c r="O13" i="2" a="1"/>
  <c r="O13" i="2"/>
  <c r="N13" i="2"/>
  <c r="G13" i="2"/>
  <c r="E13" i="2"/>
  <c r="D13" i="2" a="1"/>
  <c r="D13" i="2"/>
  <c r="B13" i="2" a="1"/>
  <c r="B13" i="2"/>
  <c r="O12" i="2" a="1"/>
  <c r="O12" i="2"/>
  <c r="N12" i="2"/>
  <c r="G12" i="2"/>
  <c r="E12" i="2"/>
  <c r="D12" i="2" a="1"/>
  <c r="D12" i="2"/>
  <c r="B12" i="2" a="1"/>
  <c r="B12" i="2"/>
  <c r="O11" i="2" a="1"/>
  <c r="O11" i="2"/>
  <c r="N11" i="2"/>
  <c r="G11" i="2"/>
  <c r="E11" i="2"/>
  <c r="D11" i="2" a="1"/>
  <c r="D11" i="2"/>
  <c r="B11" i="2" a="1"/>
  <c r="B11" i="2"/>
  <c r="O10" i="2" a="1"/>
  <c r="O10" i="2"/>
  <c r="N10" i="2"/>
  <c r="G10" i="2"/>
  <c r="E10" i="2"/>
  <c r="D10" i="2" a="1"/>
  <c r="D10" i="2"/>
  <c r="B10" i="2" a="1"/>
  <c r="B10" i="2"/>
  <c r="O9" i="2" a="1"/>
  <c r="O9" i="2"/>
  <c r="N9" i="2"/>
  <c r="G9" i="2"/>
  <c r="E9" i="2"/>
  <c r="D9" i="2" a="1"/>
  <c r="D9" i="2"/>
  <c r="B9" i="2" a="1"/>
  <c r="B9" i="2"/>
  <c r="O8" i="2" a="1"/>
  <c r="O8" i="2"/>
  <c r="N8" i="2"/>
  <c r="G8" i="2"/>
  <c r="E8" i="2"/>
  <c r="D8" i="2" a="1"/>
  <c r="D8" i="2"/>
  <c r="B8" i="2" a="1"/>
  <c r="B8" i="2"/>
  <c r="O7" i="2" a="1"/>
  <c r="O7" i="2"/>
  <c r="N7" i="2"/>
  <c r="G7" i="2"/>
  <c r="E7" i="2"/>
  <c r="D7" i="2" a="1"/>
  <c r="D7" i="2"/>
  <c r="B7" i="2" a="1"/>
  <c r="B7" i="2"/>
  <c r="O6" i="2" a="1"/>
  <c r="O6" i="2"/>
  <c r="N6" i="2"/>
  <c r="G6" i="2"/>
  <c r="E6" i="2"/>
  <c r="D6" i="2" a="1"/>
  <c r="D6" i="2"/>
  <c r="B6" i="2" a="1"/>
  <c r="B6" i="2"/>
  <c r="O5" i="2" a="1"/>
  <c r="O5" i="2"/>
  <c r="N5" i="2"/>
  <c r="G5" i="2"/>
  <c r="E5" i="2"/>
  <c r="D5" i="2" a="1"/>
  <c r="D5" i="2"/>
  <c r="O68" i="2" a="1"/>
  <c r="O68" i="2"/>
  <c r="N68" i="2"/>
  <c r="G68" i="2"/>
  <c r="E68" i="2"/>
  <c r="D68" i="2" a="1"/>
  <c r="D68" i="2"/>
  <c r="B68" i="2" a="1"/>
  <c r="B68" i="2"/>
  <c r="O67" i="2" a="1"/>
  <c r="O67" i="2"/>
  <c r="N67" i="2"/>
  <c r="G67" i="2"/>
  <c r="E67" i="2"/>
  <c r="D67" i="2" a="1"/>
  <c r="D67" i="2"/>
  <c r="B67" i="2" a="1"/>
  <c r="B67" i="2"/>
  <c r="O66" i="2" a="1"/>
  <c r="O66" i="2"/>
  <c r="N66" i="2"/>
  <c r="G66" i="2"/>
  <c r="E66" i="2"/>
  <c r="D66" i="2" a="1"/>
  <c r="D66" i="2"/>
  <c r="B66" i="2" a="1"/>
  <c r="B66" i="2"/>
  <c r="O65" i="2" a="1"/>
  <c r="O65" i="2"/>
  <c r="N65" i="2"/>
  <c r="G65" i="2"/>
  <c r="E65" i="2"/>
  <c r="D65" i="2" a="1"/>
  <c r="D65" i="2"/>
  <c r="B65" i="2" a="1"/>
  <c r="B65" i="2"/>
  <c r="O64" i="2" a="1"/>
  <c r="O64" i="2"/>
  <c r="N64" i="2"/>
  <c r="G64" i="2"/>
  <c r="E64" i="2"/>
  <c r="D64" i="2" a="1"/>
  <c r="D64" i="2"/>
  <c r="B64" i="2" a="1"/>
  <c r="B64" i="2"/>
  <c r="O63" i="2" a="1"/>
  <c r="O63" i="2"/>
  <c r="N63" i="2"/>
  <c r="G63" i="2"/>
  <c r="E63" i="2"/>
  <c r="D63" i="2" a="1"/>
  <c r="D63" i="2"/>
  <c r="B63" i="2" a="1"/>
  <c r="B63" i="2"/>
  <c r="O62" i="2" a="1"/>
  <c r="O62" i="2"/>
  <c r="N62" i="2"/>
  <c r="G62" i="2"/>
  <c r="E62" i="2"/>
  <c r="D62" i="2" a="1"/>
  <c r="D62" i="2"/>
  <c r="B62" i="2" a="1"/>
  <c r="B62" i="2"/>
  <c r="O61" i="2" a="1"/>
  <c r="O61" i="2"/>
  <c r="N61" i="2"/>
  <c r="G61" i="2"/>
  <c r="E61" i="2"/>
  <c r="D61" i="2" a="1"/>
  <c r="D61" i="2"/>
  <c r="B61" i="2" a="1"/>
  <c r="B61" i="2"/>
  <c r="O60" i="2" a="1"/>
  <c r="O60" i="2"/>
  <c r="N60" i="2"/>
  <c r="G60" i="2"/>
  <c r="E60" i="2"/>
  <c r="D60" i="2" a="1"/>
  <c r="D60" i="2"/>
  <c r="B60" i="2" a="1"/>
  <c r="B60" i="2"/>
  <c r="O59" i="2" a="1"/>
  <c r="O59" i="2"/>
  <c r="N59" i="2"/>
  <c r="G59" i="2"/>
  <c r="E59" i="2"/>
  <c r="D59" i="2" a="1"/>
  <c r="D59" i="2"/>
  <c r="B59" i="2" a="1"/>
  <c r="B59" i="2"/>
  <c r="O58" i="2" a="1"/>
  <c r="O58" i="2"/>
  <c r="N58" i="2"/>
  <c r="G58" i="2"/>
  <c r="E58" i="2"/>
  <c r="D58" i="2" a="1"/>
  <c r="D58" i="2"/>
  <c r="B58" i="2" a="1"/>
  <c r="B58" i="2"/>
  <c r="O57" i="2" a="1"/>
  <c r="O57" i="2"/>
  <c r="N57" i="2"/>
  <c r="G57" i="2"/>
  <c r="E57" i="2"/>
  <c r="D57" i="2" a="1"/>
  <c r="D57" i="2"/>
  <c r="B57" i="2" a="1"/>
  <c r="B57" i="2"/>
  <c r="O56" i="2" a="1"/>
  <c r="O56" i="2"/>
  <c r="N56" i="2"/>
  <c r="G56" i="2"/>
  <c r="E56" i="2"/>
  <c r="D56" i="2" a="1"/>
  <c r="D56" i="2"/>
  <c r="B56" i="2" a="1"/>
  <c r="B56" i="2"/>
  <c r="O55" i="2" a="1"/>
  <c r="O55" i="2"/>
  <c r="N55" i="2"/>
  <c r="G55" i="2"/>
  <c r="E55" i="2"/>
  <c r="D55" i="2" a="1"/>
  <c r="D55" i="2"/>
  <c r="B55" i="2" a="1"/>
  <c r="B55" i="2"/>
  <c r="O54" i="2" a="1"/>
  <c r="O54" i="2"/>
  <c r="N54" i="2"/>
  <c r="G54" i="2"/>
  <c r="E54" i="2"/>
  <c r="D54" i="2" a="1"/>
  <c r="D54" i="2"/>
  <c r="B54" i="2" a="1"/>
  <c r="B54" i="2"/>
  <c r="O53" i="2" a="1"/>
  <c r="O53" i="2"/>
  <c r="N53" i="2"/>
  <c r="G53" i="2"/>
  <c r="E53" i="2"/>
  <c r="D53" i="2" a="1"/>
  <c r="D53" i="2"/>
  <c r="B53" i="2" a="1"/>
  <c r="B53" i="2"/>
  <c r="O52" i="2" a="1"/>
  <c r="O52" i="2"/>
  <c r="N52" i="2"/>
  <c r="G52" i="2"/>
  <c r="E52" i="2"/>
  <c r="D52" i="2" a="1"/>
  <c r="D52" i="2"/>
  <c r="B52" i="2" a="1"/>
  <c r="B52" i="2"/>
  <c r="O51" i="2" a="1"/>
  <c r="O51" i="2"/>
  <c r="N51" i="2"/>
  <c r="G51" i="2"/>
  <c r="E51" i="2"/>
  <c r="D51" i="2" a="1"/>
  <c r="D51" i="2"/>
  <c r="B51" i="2" a="1"/>
  <c r="B51" i="2"/>
  <c r="O50" i="2" a="1"/>
  <c r="O50" i="2"/>
  <c r="N50" i="2"/>
  <c r="G50" i="2"/>
  <c r="E50" i="2"/>
  <c r="D50" i="2" a="1"/>
  <c r="D50" i="2"/>
  <c r="B50" i="2" a="1"/>
  <c r="B50" i="2"/>
  <c r="O49" i="2" a="1"/>
  <c r="O49" i="2"/>
  <c r="N49" i="2"/>
  <c r="G49" i="2"/>
  <c r="E49" i="2"/>
  <c r="D49" i="2" a="1"/>
  <c r="D49" i="2"/>
  <c r="B49" i="2" a="1"/>
  <c r="B49" i="2"/>
  <c r="O48" i="2" a="1"/>
  <c r="O48" i="2"/>
  <c r="N48" i="2"/>
  <c r="G48" i="2"/>
  <c r="E48" i="2"/>
  <c r="D48" i="2" a="1"/>
  <c r="D48" i="2"/>
  <c r="B48" i="2" a="1"/>
  <c r="B48" i="2"/>
  <c r="O47" i="2" a="1"/>
  <c r="O47" i="2"/>
  <c r="N47" i="2"/>
  <c r="G47" i="2"/>
  <c r="E47" i="2"/>
  <c r="D47" i="2" a="1"/>
  <c r="D47" i="2"/>
  <c r="B47" i="2" a="1"/>
  <c r="B47" i="2"/>
  <c r="O46" i="2" a="1"/>
  <c r="O46" i="2"/>
  <c r="N46" i="2"/>
  <c r="G46" i="2"/>
  <c r="E46" i="2"/>
  <c r="D46" i="2" a="1"/>
  <c r="D46" i="2"/>
  <c r="B46" i="2" a="1"/>
  <c r="B46" i="2"/>
  <c r="O45" i="2" a="1"/>
  <c r="O45" i="2"/>
  <c r="N45" i="2"/>
  <c r="G45" i="2"/>
  <c r="E45" i="2"/>
  <c r="D45" i="2" a="1"/>
  <c r="D45" i="2"/>
  <c r="B45" i="2" a="1"/>
  <c r="B45" i="2"/>
  <c r="O44" i="2" a="1"/>
  <c r="O44" i="2"/>
  <c r="N44" i="2"/>
  <c r="G44" i="2"/>
  <c r="E44" i="2"/>
  <c r="D44" i="2" a="1"/>
  <c r="D44" i="2"/>
  <c r="B44" i="2" a="1"/>
  <c r="B44" i="2"/>
  <c r="O43" i="2" a="1"/>
  <c r="O43" i="2"/>
  <c r="N43" i="2"/>
  <c r="G43" i="2"/>
  <c r="E43" i="2"/>
  <c r="D43" i="2" a="1"/>
  <c r="D43" i="2"/>
  <c r="B43" i="2" a="1"/>
  <c r="B43" i="2"/>
  <c r="O42" i="2" a="1"/>
  <c r="O42" i="2"/>
  <c r="N42" i="2"/>
  <c r="G42" i="2"/>
  <c r="E42" i="2"/>
  <c r="D42" i="2" a="1"/>
  <c r="D42" i="2"/>
  <c r="B42" i="2" a="1"/>
  <c r="B42" i="2"/>
  <c r="O41" i="2" a="1"/>
  <c r="O41" i="2"/>
  <c r="N41" i="2"/>
  <c r="G41" i="2"/>
  <c r="E41" i="2"/>
  <c r="D41" i="2" a="1"/>
  <c r="D41" i="2"/>
  <c r="B41" i="2" a="1"/>
  <c r="B41" i="2"/>
  <c r="R5" i="2" a="1"/>
  <c r="R5" i="2" s="1"/>
  <c r="T5" i="2" s="1"/>
  <c r="T14" i="2"/>
  <c r="T13" i="2"/>
  <c r="T12" i="2"/>
  <c r="T11" i="2"/>
  <c r="T10" i="2"/>
  <c r="T9" i="2"/>
  <c r="T8" i="2"/>
  <c r="T7" i="2"/>
  <c r="T6" i="2"/>
  <c r="S4" i="2" a="1"/>
  <c r="S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<sst xmlns="http://schemas.openxmlformats.org/spreadsheetml/2006/main" count="35" uniqueCount="34">
  <si>
    <t>Price</t>
  </si>
  <si>
    <t>Speed</t>
  </si>
  <si>
    <t>Range</t>
  </si>
  <si>
    <t>Name:</t>
  </si>
  <si>
    <t>Bike name</t>
  </si>
  <si>
    <t>Tiebreak Priority Set:</t>
  </si>
  <si>
    <t>Sort Leaderboard by:</t>
  </si>
  <si>
    <t>Speed (mph)</t>
  </si>
  <si>
    <t>Range (mi)</t>
  </si>
  <si>
    <t>Score (out of 5.01)</t>
  </si>
  <si>
    <t>Leaderboard: (Top 10)</t>
  </si>
  <si>
    <t>Budget Max Price: ($)</t>
  </si>
  <si>
    <t>Price ($)</t>
  </si>
  <si>
    <t>Note: "C" bikes are indicated by ⚠️, bikes over $1200 are indicated with 💲, unless they have a a score less than 4.0, indicated by ✨️</t>
  </si>
  <si>
    <t>Boxes marked in blue are auto-calculated values. Do not manually input.</t>
  </si>
  <si>
    <t>Rating/5:</t>
  </si>
  <si>
    <t>Top Speed Potential</t>
  </si>
  <si>
    <t>True Throttle Range</t>
  </si>
  <si>
    <t>Battery Size (Wh)</t>
  </si>
  <si>
    <t>Has Critical Flaw? (Y/N/C*)</t>
  </si>
  <si>
    <t>Terrain Type*</t>
  </si>
  <si>
    <t>*Expected Urban, Suburban, or Trail</t>
  </si>
  <si>
    <t>Driving Style*</t>
  </si>
  <si>
    <t>*Expected Class 2, Class 3, or Unlocked</t>
  </si>
  <si>
    <t>*C stands for Catastrophic. Only label a bike with this if it cannot be safely used due to hazard or extreme immediate failure.</t>
  </si>
  <si>
    <t>Bike Price ($)</t>
  </si>
  <si>
    <t>Bike Weight (lbs)</t>
  </si>
  <si>
    <t>Standard User Weight: (in lbs)</t>
  </si>
  <si>
    <t>Rider Weight (lbs)</t>
  </si>
  <si>
    <t>Battery Voltage (V)</t>
  </si>
  <si>
    <t>Battery Amperage (Ah)</t>
  </si>
  <si>
    <t>Peak Power (W)</t>
  </si>
  <si>
    <t>Nominal Power (W)</t>
  </si>
  <si>
    <t>Battery Burn Rate (Wh/mi)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</si>
</sst>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dotted">
        <color rgb="FF505050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2" fontId="0" fillId="0" borderId="0" xfId="0" applyNumberFormat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5" borderId="3" xfId="0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/>
    <xf numFmtId="2" fontId="0" fillId="6" borderId="1" xfId="0" applyNumberFormat="1" applyFill="1" applyBorder="1" applyAlignment="1">
      <alignment horizontal="center"/>
    </xf>
    <xf numFmtId="1" fontId="0" fillId="6" borderId="0" xfId="0" applyNumberForma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2" fontId="0" fillId="5" borderId="0" xfId="0" applyNumberFormat="1" applyFill="1" applyAlignment="1">
      <alignment horizontal="center"/>
    </xf>
    <xf numFmtId="0" fontId="1" fillId="5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9" xfId="0" applyFill="1" applyBorder="1"/>
    <xf numFmtId="0" fontId="0" fillId="5" borderId="7" xfId="0" applyFill="1" applyBorder="1"/>
    <xf numFmtId="0" fontId="0" fillId="5" borderId="5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2" xfId="0" applyFill="1" applyBorder="1"/>
    <xf numFmtId="0" fontId="0" fillId="5" borderId="2" xfId="0" applyFill="1" applyBorder="1"/>
    <xf numFmtId="0" fontId="0" fillId="5" borderId="10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5" borderId="0" xfId="0" applyFont="1" applyFill="1" applyAlignment="1">
      <alignment horizontal="right" vertical="center" wrapText="1"/>
    </xf>
    <xf numFmtId="0" fontId="2" fillId="5" borderId="0" xfId="0" applyFont="1" applyFill="1" applyAlignment="1">
      <alignment horizontal="center" vertical="center"/>
    </xf>
    <xf numFmtId="0" fontId="0" fillId="5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1154-4B5B-8D40-A4D6-345EDAC94921}">
  <dimension ref="A1:W108"/>
  <sheetViews>
    <sheetView tabSelected="1" zoomScaleNormal="60" zoomScaleSheetLayoutView="100" workbookViewId="0">
      <selection activeCell="A5" sqref="A5"/>
    </sheetView>
  </sheetViews>
  <sheetFormatPr defaultRowHeight="14.5" x14ac:dyDescent="0.35"/>
  <cols>
    <col min="1" max="1" width="34.1796875" customWidth="1"/>
    <col min="2" max="2" width="12.6328125" customWidth="1"/>
    <col min="3" max="3" width="11" customWidth="1"/>
    <col min="4" max="4" width="21.81640625" customWidth="1"/>
    <col min="5" max="5" width="21" customWidth="1"/>
    <col min="6" max="6" width="14.26953125" customWidth="1"/>
    <col min="7" max="7" width="15.08984375" customWidth="1"/>
    <col min="8" max="8" width="15.36328125" customWidth="1"/>
    <col min="9" max="9" width="18.26953125" customWidth="1"/>
    <col min="10" max="10" width="13.1796875" customWidth="1"/>
    <col min="11" max="11" width="16.6328125" customWidth="1"/>
    <col min="12" max="12" width="13.1796875" customWidth="1"/>
    <col min="13" max="13" width="11.81640625" customWidth="1"/>
    <col min="14" max="14" width="17.7265625" customWidth="1"/>
    <col min="15" max="15" width="22.08984375" customWidth="1"/>
    <col min="16" max="16" width="22.6328125" customWidth="1"/>
    <col min="17" max="17" width="5" customWidth="1"/>
    <col min="18" max="18" width="34.7265625" customWidth="1"/>
    <col min="19" max="19" width="16.36328125" customWidth="1"/>
    <col min="20" max="20" width="6.81640625" customWidth="1"/>
    <col min="21" max="21" width="18" customWidth="1"/>
  </cols>
  <sheetData>
    <row r="1" spans="1:23" x14ac:dyDescent="0.35">
      <c r="A1" s="26" t="s">
        <v>5</v>
      </c>
      <c r="B1" s="18" t="s">
        <v>0</v>
      </c>
      <c r="C1" s="18" t="s">
        <v>1</v>
      </c>
      <c r="D1" s="28" t="s">
        <v>2</v>
      </c>
      <c r="E1" s="19"/>
      <c r="F1" s="43" t="s">
        <v>27</v>
      </c>
      <c r="G1" s="44"/>
      <c r="H1" s="25"/>
      <c r="I1" s="19"/>
      <c r="J1" s="19"/>
      <c r="K1" s="19"/>
      <c r="L1" s="19"/>
      <c r="M1" s="19"/>
      <c r="N1" s="19"/>
      <c r="O1" s="19"/>
      <c r="P1" s="19"/>
      <c r="Q1" s="29"/>
      <c r="R1" s="19"/>
      <c r="S1" s="19"/>
      <c r="T1" s="19"/>
      <c r="U1" s="19"/>
      <c r="V1" s="19"/>
      <c r="W1" s="19"/>
    </row>
    <row r="2" spans="1:23" ht="15.75" customHeight="1" x14ac:dyDescent="0.35">
      <c r="A2" s="30"/>
      <c r="B2" s="31" t="b">
        <v>1</v>
      </c>
      <c r="C2" s="31" t="b">
        <v>0</v>
      </c>
      <c r="D2" s="32" t="b">
        <v>0</v>
      </c>
      <c r="E2" s="19"/>
      <c r="F2" s="19"/>
      <c r="G2" s="19"/>
      <c r="H2" s="19"/>
      <c r="I2" s="19"/>
      <c r="J2" s="19"/>
      <c r="K2" s="19"/>
      <c r="L2" s="39" t="s">
        <v>21</v>
      </c>
      <c r="M2" s="39" t="s">
        <v>23</v>
      </c>
      <c r="N2" s="19"/>
      <c r="O2" s="45" t="s">
        <v>24</v>
      </c>
      <c r="P2" s="45"/>
      <c r="Q2" s="29"/>
      <c r="R2" s="19"/>
      <c r="S2" s="19"/>
      <c r="T2" s="19"/>
      <c r="U2" s="19"/>
      <c r="V2" s="19"/>
      <c r="W2" s="19"/>
    </row>
    <row r="3" spans="1:23" x14ac:dyDescent="0.35">
      <c r="A3" s="46" t="s">
        <v>14</v>
      </c>
      <c r="B3" s="46"/>
      <c r="C3" s="19"/>
      <c r="D3" s="19"/>
      <c r="E3" s="19"/>
      <c r="F3" s="19"/>
      <c r="G3" s="19"/>
      <c r="H3" s="19"/>
      <c r="I3" s="19"/>
      <c r="J3" s="19"/>
      <c r="K3" s="19"/>
      <c r="L3" s="39"/>
      <c r="M3" s="39"/>
      <c r="N3" s="19"/>
      <c r="O3" s="45"/>
      <c r="P3" s="45"/>
      <c r="Q3" s="29"/>
      <c r="R3" s="43" t="s">
        <v>10</v>
      </c>
      <c r="S3" s="44"/>
      <c r="T3" s="47"/>
      <c r="U3" s="44" t="s">
        <v>6</v>
      </c>
      <c r="V3" s="47"/>
      <c r="W3" s="19"/>
    </row>
    <row r="4" spans="1:23" ht="21" x14ac:dyDescent="0.5">
      <c r="A4" s="33" t="s">
        <v>3</v>
      </c>
      <c r="B4" s="34" t="s">
        <v>15</v>
      </c>
      <c r="C4" s="33" t="s">
        <v>25</v>
      </c>
      <c r="D4" s="35" t="s">
        <v>16</v>
      </c>
      <c r="E4" s="34" t="s">
        <v>17</v>
      </c>
      <c r="F4" s="36" t="s">
        <v>26</v>
      </c>
      <c r="G4" s="33" t="s">
        <v>28</v>
      </c>
      <c r="H4" s="36" t="s">
        <v>29</v>
      </c>
      <c r="I4" s="36" t="s">
        <v>30</v>
      </c>
      <c r="J4" s="36" t="s">
        <v>31</v>
      </c>
      <c r="K4" s="33" t="s">
        <v>32</v>
      </c>
      <c r="L4" s="36" t="s">
        <v>20</v>
      </c>
      <c r="M4" s="33" t="s">
        <v>22</v>
      </c>
      <c r="N4" s="35" t="s">
        <v>18</v>
      </c>
      <c r="O4" s="34" t="s">
        <v>33</v>
      </c>
      <c r="P4" s="36" t="s">
        <v>19</v>
      </c>
      <c r="Q4" s="29"/>
      <c r="R4" s="11" t="s">
        <v>4</v>
      </c>
      <c r="S4" s="12" t="str" cm="1">
        <f t="array" ref="S4">_xlfn.IFS(AND($V$4, $V$7, NOT($V$5), NOT($V$6), $V$13=""), "Budget-First Score", AND($V$4, OR($V$5, $V$6, $V$7)), "Weighted Score", $V$4, "Unweighted Score", $V$5, "Speed (mph)", AND($V$6, NOT($V$5)), "Range (miles)", AND($V$7, NOT($V$5), NOT($V$6)), "Price ($)", TRUE, "Unweighted Score")</f>
        <v>Unweighted Score</v>
      </c>
      <c r="T4" s="13" t="s">
        <v>0</v>
      </c>
      <c r="U4" s="19" t="s">
        <v>9</v>
      </c>
      <c r="V4" s="22" t="b">
        <v>1</v>
      </c>
      <c r="W4" s="19"/>
    </row>
    <row r="5" spans="1:23" ht="21" x14ac:dyDescent="0.5">
      <c r="A5" s="27"/>
      <c r="B5" s="14" t="str" cm="1">
        <f t="array" ref="B5">IF(A5="", "", IF(UPPER(P5)="C", 1, MIN(5, MAX(1, ROUND(((E5/50)*1 + IF(E5&gt;=30, 0.3, 0)) + ((D5/28)*2.2 + IF(D5&gt;=28, 0.4, 0)) - ((C5/1000)*1) + 1.6, 2) - IF(UPPER(P5)="Y", 1.6, 0))) + _xlfn.IFS($B$2, (10000-C5)*0.000001, $C$2, D5*0.000001, $D$2, E5*0.000001)))</f>
        <v/>
      </c>
      <c r="C5" s="28"/>
      <c r="D5" s="15" t="str" cm="1">
        <f t="array" ref="D5">IF(A5="", "", IF(M5="", 0, _xlfn.IFS(M5="Class 2", 20, M5="Class 3", 28, M5="Unlocked", MAX(0, (J5*0.36 - (IF(L5="Trail", 0.0065, 0.005) + 0.11 * _xlfn.IFS(L5="Urban", 0, L5="Suburban", 0.015, L5="City Hills", 0.045, L5="Trail", 0.02)) * (F5+G5)) / 0.018)^(1/3))))</f>
        <v/>
      </c>
      <c r="E5" s="16" t="str">
        <f t="shared" ref="E5:E36" si="0">IF(A5="", "", TEXT(N5 / O5, "0.0"))</f>
        <v/>
      </c>
      <c r="F5" s="18"/>
      <c r="G5" s="28" t="str">
        <f t="shared" ref="G5:G36" si="1">IF(A5="", "", $H$1)</f>
        <v/>
      </c>
      <c r="H5" s="18"/>
      <c r="I5" s="18"/>
      <c r="J5" s="18"/>
      <c r="K5" s="28"/>
      <c r="L5" s="18"/>
      <c r="M5" s="28"/>
      <c r="N5" s="17" t="str">
        <f t="shared" ref="N5:N36" si="2">IF(A5="", "", ROUND(H5 * I5, 0))</f>
        <v/>
      </c>
      <c r="O5" s="14" t="str" cm="1">
        <f t="array" ref="O5">IF(A5="", "", TEXT(IF(L5="", 0, (((0.018 * D5^2) + (IF(L5="Trail", 0.0065, 0.005) * (F5+G5)) + (0.11 * (F5+G5) * _xlfn.IFS(L5="Urban", 0, L5="Suburban", 0.015, L5="City Hills", 0.045, L5="Trail", 0.02))) / 0.55)), "0.0"))</f>
        <v/>
      </c>
      <c r="P5" s="18"/>
      <c r="Q5" s="29">
        <v>1</v>
      </c>
      <c r="R5" s="2" t="e" cm="1" vm="1">
        <f t="array" ref="R5">_xlfn.LET(_xlpm.names, A5:A68, _xlpm.ratings, IFERROR(B5:B68, 0), _xlpm.prices, IFERROR(C5:C68, 0), _xlpm.speeds, IFERROR(D5:D68, 0), _xlpm.ranges, IFERROR(E5:E68, 0), _xlpm.flaws, P5:P68, _xlpm.score_act, $V$4, _xlpm.speed_act, $V$5, _xlpm.range_act, $V$6, _xlpm.price_act, $V$7, _xlpm.max_p, $V$13, _xlpm.valid_rows, (_xlpm.names&lt;&gt;"")*IF(_xlpm.max_p="", 1, _xlpm.prices&lt;=_xlpm.max_p)*IF((_xlpm.max_p&lt;&gt;"")*(ROWS(_xlfn._xlws.FILTER(_xlpm.names, (_xlpm.names&lt;&gt;"")*IF(_xlpm.max_p="", 1, _xlpm.prices&lt;=_xlpm.max_p), 0))&gt;10)*(UPPER(_xlpm.flaws)="C"), 0, 1), _xlpm.labels, IF(_xlfn._xlws.FILTER(UPPER(_xlpm.flaws)="C", _xlpm.valid_rows, 0), "⚠️ " &amp; _xlfn._xlws.FILTER(_xlpm.names, _xlpm.valid_rows), IF(_xlfn._xlws.FILTER(_xlpm.prices&gt;=1200, _xlpm.valid_rows, 0), IF(_xlfn._xlws.FILTER(_xlpm.ratings&lt;4, _xlpm.valid_rows, 0), "✨ ", "💲 ") &amp; _xlfn._xlws.FILTER(_xlpm.names, _xlpm.valid_rows), _xlfn._xlws.FILTER(_xlpm.names, _xlpm.valid_rows))), _xlpm.budget_mode, AND(_xlpm.score_act, _xlpm.price_act, NOT(_xlpm.speed_act), NOT(_xlpm.range_act), _xlpm.max_p=""), _xlpm.raw_scores, _xlpm.ratings + IF(_xlpm.budget_mode, -(_xlpm.price_act*IF(_xlpm.prices&gt;650, _xlpm.prices-650, 0)*0.022), (_xlpm.speed_act*IF(_xlpm.speeds&gt;=28, _xlpm.speeds*0.01, (_xlpm.speeds-28)*0.15)) + (_xlpm.range_act*IF(_xlpm.ranges&gt;=20, _xlpm.ranges*0.01, (_xlpm.ranges-20)*0.15)) - (_xlpm.price_act*IF(_xlpm.prices&gt;750, _xlpm.prices-750, 0)*0.001)), _xlpm.weighted_active, AND(_xlpm.score_act, OR(_xlpm.speed_act, _xlpm.range_act, _xlpm.price_act)), _xlpm.max_raw, MAX(_xlfn._xlws.FILTER(_xlpm.raw_scores, _xlpm.valid_rows, 1)), _xlpm.calc_scores, IF(_xlpm.weighted_active, _xlpm.raw_scores*(5.01/IF(_xlpm.max_raw&gt;0, _xlpm.max_raw, 1)), _xlpm.raw_scores), _xlpm.display_val, _xlfn.IFS(_xlpm.speed_act*(_xlpm.score_act=FALSE), _xlfn._xlws.FILTER(_xlpm.speeds, _xlpm.valid_rows), _xlpm.range_act*NOT(_xlpm.speed_act)*(_xlpm.score_act=FALSE), _xlfn._xlws.FILTER(_xlpm.ranges, _xlpm.valid_rows), _xlpm.price_act*NOT(_xlpm.speed_act)*NOT(_xlpm.range_act)*(_xlpm.score_act=FALSE), _xlfn._xlws.FILTER(_xlpm.prices, _xlpm.valid_rows), TRUE, _xlfn._xlws.FILTER(_xlpm.calc_scores, _xlpm.valid_rows)), _xlpm.sort_order, _xlfn.IFS(_xlpm.price_act*NOT(_xlpm.speed_act)*NOT(_xlpm.range_act)*(_xlpm.score_act=FALSE), 1, TRUE, -1), _xlfn.TAKE(_xlfn.SORTBY(_xlfn.HSTACK(_xlpm.labels, _xlpm.display_val), _xlpm.display_val, _xlpm.sort_order), 10))</f>
        <v>#VALUE!</v>
      </c>
      <c r="S5" s="6"/>
      <c r="T5" s="2" t="e" vm="2">
        <f t="shared" ref="T5:T14" si="3">IF(R5="", "", TEXT(_xlfn.XLOOKUP(REPLACE(R5, 1, IF(OR(LEFT(R5,1)="⚠️", LEFT(R5,1)="✨", LEFT(R5,1)="💲"), 2, 0), ""), $A$5:$A$68, $C$5:$C$68, ""), "$#,##0"))</f>
        <v>#VALUE!</v>
      </c>
      <c r="U5" s="19" t="s">
        <v>7</v>
      </c>
      <c r="V5" s="22" t="b">
        <v>0</v>
      </c>
      <c r="W5" s="19"/>
    </row>
    <row r="6" spans="1:23" ht="21" x14ac:dyDescent="0.5">
      <c r="A6" s="27"/>
      <c r="B6" s="14" t="str" cm="1">
        <f t="array" ref="B6">IF(A6="", "", IF(UPPER(P6)="C", 1, MIN(5, MAX(1, ROUND(((E6/50)*1 + IF(E6&gt;=30, 0.3, 0)) + ((D6/28)*2.2 + IF(D6&gt;=28, 0.4, 0)) - ((C6/1000)*1) + 1.6, 2) - IF(UPPER(P6)="Y", 1.6, 0))) + _xlfn.IFS($B$2, (10000-C6)*0.000001, $C$2, D6*0.000001, $D$2, E6*0.000001)))</f>
        <v/>
      </c>
      <c r="C6" s="28"/>
      <c r="D6" s="15" t="str" cm="1">
        <f t="array" ref="D6">IF(A6="", "", IF(M6="", 0, _xlfn.IFS(M6="Class 2", 20, M6="Class 3", 28, M6="Unlocked", MAX(0, (J6*0.36 - (IF(L6="Trail", 0.0065, 0.005) + 0.11 * _xlfn.IFS(L6="Urban", 0, L6="Suburban", 0.015, L6="City Hills", 0.045, L6="Trail", 0.02)) * (F6+G6)) / 0.018)^(1/3))))</f>
        <v/>
      </c>
      <c r="E6" s="16" t="str">
        <f t="shared" si="0"/>
        <v/>
      </c>
      <c r="F6" s="18"/>
      <c r="G6" s="28" t="str">
        <f t="shared" si="1"/>
        <v/>
      </c>
      <c r="H6" s="18"/>
      <c r="I6" s="18"/>
      <c r="J6" s="18"/>
      <c r="K6" s="28"/>
      <c r="L6" s="18"/>
      <c r="M6" s="28"/>
      <c r="N6" s="17" t="str">
        <f t="shared" si="2"/>
        <v/>
      </c>
      <c r="O6" s="14" t="str" cm="1">
        <f t="array" ref="O6">IF(A6="", "", TEXT(IF(L6="", 0, (((0.018 * D6^2) + (IF(L6="Trail", 0.0065, 0.005) * (F6+G6)) + (0.11 * (F6+G6) * _xlfn.IFS(L6="Urban", 0, L6="Suburban", 0.015, L6="City Hills", 0.045, L6="Trail", 0.02))) / 0.55)), "0.0"))</f>
        <v/>
      </c>
      <c r="P6" s="18"/>
      <c r="Q6" s="29">
        <v>2</v>
      </c>
      <c r="R6" s="3"/>
      <c r="S6" s="7"/>
      <c r="T6" s="3" t="str">
        <f t="shared" si="3"/>
        <v/>
      </c>
      <c r="U6" s="19" t="s">
        <v>8</v>
      </c>
      <c r="V6" s="22" t="b">
        <v>0</v>
      </c>
      <c r="W6" s="19"/>
    </row>
    <row r="7" spans="1:23" ht="21" x14ac:dyDescent="0.5">
      <c r="A7" s="27"/>
      <c r="B7" s="14" t="str" cm="1">
        <f t="array" ref="B7">IF(A7="", "", IF(UPPER(P7)="C", 1, MIN(5, MAX(1, ROUND(((E7/50)*1 + IF(E7&gt;=30, 0.3, 0)) + ((D7/28)*2.2 + IF(D7&gt;=28, 0.4, 0)) - ((C7/1000)*1) + 1.6, 2) - IF(UPPER(P7)="Y", 1.6, 0))) + _xlfn.IFS($B$2, (10000-C7)*0.000001, $C$2, D7*0.000001, $D$2, E7*0.000001)))</f>
        <v/>
      </c>
      <c r="C7" s="28"/>
      <c r="D7" s="15" t="str" cm="1">
        <f t="array" ref="D7">IF(A7="", "", IF(M7="", 0, _xlfn.IFS(M7="Class 2", 20, M7="Class 3", 28, M7="Unlocked", MAX(0, (J7*0.36 - (IF(L7="Trail", 0.0065, 0.005) + 0.11 * _xlfn.IFS(L7="Urban", 0, L7="Suburban", 0.015, L7="City Hills", 0.045, L7="Trail", 0.02)) * (F7+G7)) / 0.018)^(1/3))))</f>
        <v/>
      </c>
      <c r="E7" s="16" t="str">
        <f t="shared" si="0"/>
        <v/>
      </c>
      <c r="F7" s="18"/>
      <c r="G7" s="28" t="str">
        <f t="shared" si="1"/>
        <v/>
      </c>
      <c r="H7" s="18"/>
      <c r="I7" s="18"/>
      <c r="J7" s="18"/>
      <c r="K7" s="28"/>
      <c r="L7" s="18"/>
      <c r="M7" s="28"/>
      <c r="N7" s="17" t="str">
        <f t="shared" si="2"/>
        <v/>
      </c>
      <c r="O7" s="14" t="str" cm="1">
        <f t="array" ref="O7">IF(A7="", "", TEXT(IF(L7="", 0, (((0.018 * D7^2) + (IF(L7="Trail", 0.0065, 0.005) * (F7+G7)) + (0.11 * (F7+G7) * _xlfn.IFS(L7="Urban", 0, L7="Suburban", 0.015, L7="City Hills", 0.045, L7="Trail", 0.02))) / 0.55)), "0.0"))</f>
        <v/>
      </c>
      <c r="P7" s="18"/>
      <c r="Q7" s="29">
        <v>3</v>
      </c>
      <c r="R7" s="4"/>
      <c r="S7" s="8"/>
      <c r="T7" s="4" t="str">
        <f t="shared" si="3"/>
        <v/>
      </c>
      <c r="U7" s="19" t="s">
        <v>12</v>
      </c>
      <c r="V7" s="22" t="b">
        <v>0</v>
      </c>
      <c r="W7" s="19"/>
    </row>
    <row r="8" spans="1:23" x14ac:dyDescent="0.35">
      <c r="A8" s="27"/>
      <c r="B8" s="14" t="str" cm="1">
        <f t="array" ref="B8">IF(A8="", "", IF(UPPER(P8)="C", 1, MIN(5, MAX(1, ROUND(((E8/50)*1 + IF(E8&gt;=30, 0.3, 0)) + ((D8/28)*2.2 + IF(D8&gt;=28, 0.4, 0)) - ((C8/1000)*1) + 1.6, 2) - IF(UPPER(P8)="Y", 1.6, 0))) + _xlfn.IFS($B$2, (10000-C8)*0.000001, $C$2, D8*0.000001, $D$2, E8*0.000001)))</f>
        <v/>
      </c>
      <c r="C8" s="28"/>
      <c r="D8" s="15" t="str" cm="1">
        <f t="array" ref="D8">IF(A8="", "", IF(M8="", 0, _xlfn.IFS(M8="Class 2", 20, M8="Class 3", 28, M8="Unlocked", MAX(0, (J8*0.36 - (IF(L8="Trail", 0.0065, 0.005) + 0.11 * _xlfn.IFS(L8="Urban", 0, L8="Suburban", 0.015, L8="City Hills", 0.045, L8="Trail", 0.02)) * (F8+G8)) / 0.018)^(1/3))))</f>
        <v/>
      </c>
      <c r="E8" s="16" t="str">
        <f t="shared" si="0"/>
        <v/>
      </c>
      <c r="F8" s="18"/>
      <c r="G8" s="28" t="str">
        <f t="shared" si="1"/>
        <v/>
      </c>
      <c r="H8" s="18"/>
      <c r="I8" s="18"/>
      <c r="J8" s="18"/>
      <c r="K8" s="28"/>
      <c r="L8" s="18"/>
      <c r="M8" s="28"/>
      <c r="N8" s="17" t="str">
        <f t="shared" si="2"/>
        <v/>
      </c>
      <c r="O8" s="14" t="str" cm="1">
        <f t="array" ref="O8">IF(A8="", "", TEXT(IF(L8="", 0, (((0.018 * D8^2) + (IF(L8="Trail", 0.0065, 0.005) * (F8+G8)) + (0.11 * (F8+G8) * _xlfn.IFS(L8="Urban", 0, L8="Suburban", 0.015, L8="City Hills", 0.045, L8="Trail", 0.02))) / 0.55)), "0.0"))</f>
        <v/>
      </c>
      <c r="P8" s="18"/>
      <c r="Q8" s="29">
        <v>4</v>
      </c>
      <c r="R8" s="1"/>
      <c r="S8" s="9"/>
      <c r="T8" s="10" t="str">
        <f t="shared" si="3"/>
        <v/>
      </c>
      <c r="U8" s="23"/>
      <c r="V8" s="23"/>
      <c r="W8" s="19"/>
    </row>
    <row r="9" spans="1:23" x14ac:dyDescent="0.35">
      <c r="A9" s="27"/>
      <c r="B9" s="14" t="str" cm="1">
        <f t="array" ref="B9">IF(A9="", "", IF(UPPER(P9)="C", 1, MIN(5, MAX(1, ROUND(((E9/50)*1 + IF(E9&gt;=30, 0.3, 0)) + ((D9/28)*2.2 + IF(D9&gt;=28, 0.4, 0)) - ((C9/1000)*1) + 1.6, 2) - IF(UPPER(P9)="Y", 1.6, 0))) + _xlfn.IFS($B$2, (10000-C9)*0.000001, $C$2, D9*0.000001, $D$2, E9*0.000001)))</f>
        <v/>
      </c>
      <c r="C9" s="28"/>
      <c r="D9" s="15" t="str" cm="1">
        <f t="array" ref="D9">IF(A9="", "", IF(M9="", 0, _xlfn.IFS(M9="Class 2", 20, M9="Class 3", 28, M9="Unlocked", MAX(0, (J9*0.36 - (IF(L9="Trail", 0.0065, 0.005) + 0.11 * _xlfn.IFS(L9="Urban", 0, L9="Suburban", 0.015, L9="City Hills", 0.045, L9="Trail", 0.02)) * (F9+G9)) / 0.018)^(1/3))))</f>
        <v/>
      </c>
      <c r="E9" s="16" t="str">
        <f t="shared" si="0"/>
        <v/>
      </c>
      <c r="F9" s="18"/>
      <c r="G9" s="28" t="str">
        <f t="shared" si="1"/>
        <v/>
      </c>
      <c r="H9" s="18"/>
      <c r="I9" s="18"/>
      <c r="J9" s="18"/>
      <c r="K9" s="28"/>
      <c r="L9" s="18"/>
      <c r="M9" s="28"/>
      <c r="N9" s="17" t="str">
        <f t="shared" si="2"/>
        <v/>
      </c>
      <c r="O9" s="14" t="str" cm="1">
        <f t="array" ref="O9">IF(A9="", "", TEXT(IF(L9="", 0, (((0.018 * D9^2) + (IF(L9="Trail", 0.0065, 0.005) * (F9+G9)) + (0.11 * (F9+G9) * _xlfn.IFS(L9="Urban", 0, L9="Suburban", 0.015, L9="City Hills", 0.045, L9="Trail", 0.02))) / 0.55)), "0.0"))</f>
        <v/>
      </c>
      <c r="P9" s="18"/>
      <c r="Q9" s="29">
        <v>5</v>
      </c>
      <c r="R9" s="1"/>
      <c r="S9" s="9"/>
      <c r="T9" s="10" t="str">
        <f t="shared" si="3"/>
        <v/>
      </c>
      <c r="U9" s="37" t="s">
        <v>13</v>
      </c>
      <c r="V9" s="38"/>
      <c r="W9" s="19"/>
    </row>
    <row r="10" spans="1:23" x14ac:dyDescent="0.35">
      <c r="A10" s="27"/>
      <c r="B10" s="14" t="str" cm="1">
        <f t="array" ref="B10">IF(A10="", "", IF(UPPER(P10)="C", 1, MIN(5, MAX(1, ROUND(((E10/50)*1 + IF(E10&gt;=30, 0.3, 0)) + ((D10/28)*2.2 + IF(D10&gt;=28, 0.4, 0)) - ((C10/1000)*1) + 1.6, 2) - IF(UPPER(P10)="Y", 1.6, 0))) + _xlfn.IFS($B$2, (10000-C10)*0.000001, $C$2, D10*0.000001, $D$2, E10*0.000001)))</f>
        <v/>
      </c>
      <c r="C10" s="28"/>
      <c r="D10" s="15" t="str" cm="1">
        <f t="array" ref="D10">IF(A10="", "", IF(M10="", 0, _xlfn.IFS(M10="Class 2", 20, M10="Class 3", 28, M10="Unlocked", MAX(0, (J10*0.36 - (IF(L10="Trail", 0.0065, 0.005) + 0.11 * _xlfn.IFS(L10="Urban", 0, L10="Suburban", 0.015, L10="City Hills", 0.045, L10="Trail", 0.02)) * (F10+G10)) / 0.018)^(1/3))))</f>
        <v/>
      </c>
      <c r="E10" s="16" t="str">
        <f t="shared" si="0"/>
        <v/>
      </c>
      <c r="F10" s="18"/>
      <c r="G10" s="28" t="str">
        <f t="shared" si="1"/>
        <v/>
      </c>
      <c r="H10" s="18"/>
      <c r="I10" s="18"/>
      <c r="J10" s="18"/>
      <c r="K10" s="28"/>
      <c r="L10" s="18"/>
      <c r="M10" s="28"/>
      <c r="N10" s="17" t="str">
        <f t="shared" si="2"/>
        <v/>
      </c>
      <c r="O10" s="14" t="str" cm="1">
        <f t="array" ref="O10">IF(A10="", "", TEXT(IF(L10="", 0, (((0.018 * D10^2) + (IF(L10="Trail", 0.0065, 0.005) * (F10+G10)) + (0.11 * (F10+G10) * _xlfn.IFS(L10="Urban", 0, L10="Suburban", 0.015, L10="City Hills", 0.045, L10="Trail", 0.02))) / 0.55)), "0.0"))</f>
        <v/>
      </c>
      <c r="P10" s="18"/>
      <c r="Q10" s="29">
        <v>6</v>
      </c>
      <c r="R10" s="1"/>
      <c r="S10" s="9"/>
      <c r="T10" s="10" t="str">
        <f t="shared" si="3"/>
        <v/>
      </c>
      <c r="U10" s="39"/>
      <c r="V10" s="40"/>
      <c r="W10" s="19"/>
    </row>
    <row r="11" spans="1:23" x14ac:dyDescent="0.35">
      <c r="A11" s="27"/>
      <c r="B11" s="14" t="str" cm="1">
        <f t="array" ref="B11">IF(A11="", "", IF(UPPER(P11)="C", 1, MIN(5, MAX(1, ROUND(((E11/50)*1 + IF(E11&gt;=30, 0.3, 0)) + ((D11/28)*2.2 + IF(D11&gt;=28, 0.4, 0)) - ((C11/1000)*1) + 1.6, 2) - IF(UPPER(P11)="Y", 1.6, 0))) + _xlfn.IFS($B$2, (10000-C11)*0.000001, $C$2, D11*0.000001, $D$2, E11*0.000001)))</f>
        <v/>
      </c>
      <c r="C11" s="28"/>
      <c r="D11" s="15" t="str" cm="1">
        <f t="array" ref="D11">IF(A11="", "", IF(M11="", 0, _xlfn.IFS(M11="Class 2", 20, M11="Class 3", 28, M11="Unlocked", MAX(0, (J11*0.36 - (IF(L11="Trail", 0.0065, 0.005) + 0.11 * _xlfn.IFS(L11="Urban", 0, L11="Suburban", 0.015, L11="City Hills", 0.045, L11="Trail", 0.02)) * (F11+G11)) / 0.018)^(1/3))))</f>
        <v/>
      </c>
      <c r="E11" s="16" t="str">
        <f t="shared" si="0"/>
        <v/>
      </c>
      <c r="F11" s="18"/>
      <c r="G11" s="28" t="str">
        <f t="shared" si="1"/>
        <v/>
      </c>
      <c r="H11" s="18"/>
      <c r="I11" s="18"/>
      <c r="J11" s="18"/>
      <c r="K11" s="28"/>
      <c r="L11" s="18"/>
      <c r="M11" s="28"/>
      <c r="N11" s="17" t="str">
        <f t="shared" si="2"/>
        <v/>
      </c>
      <c r="O11" s="14" t="str" cm="1">
        <f t="array" ref="O11">IF(A11="", "", TEXT(IF(L11="", 0, (((0.018 * D11^2) + (IF(L11="Trail", 0.0065, 0.005) * (F11+G11)) + (0.11 * (F11+G11) * _xlfn.IFS(L11="Urban", 0, L11="Suburban", 0.015, L11="City Hills", 0.045, L11="Trail", 0.02))) / 0.55)), "0.0"))</f>
        <v/>
      </c>
      <c r="P11" s="18"/>
      <c r="Q11" s="29">
        <v>7</v>
      </c>
      <c r="R11" s="1"/>
      <c r="S11" s="9"/>
      <c r="T11" s="10" t="str">
        <f t="shared" si="3"/>
        <v/>
      </c>
      <c r="U11" s="41"/>
      <c r="V11" s="42"/>
      <c r="W11" s="19"/>
    </row>
    <row r="12" spans="1:23" x14ac:dyDescent="0.35">
      <c r="A12" s="27"/>
      <c r="B12" s="14" t="str" cm="1">
        <f t="array" ref="B12">IF(A12="", "", IF(UPPER(P12)="C", 1, MIN(5, MAX(1, ROUND(((E12/50)*1 + IF(E12&gt;=30, 0.3, 0)) + ((D12/28)*2.2 + IF(D12&gt;=28, 0.4, 0)) - ((C12/1000)*1) + 1.6, 2) - IF(UPPER(P12)="Y", 1.6, 0))) + _xlfn.IFS($B$2, (10000-C12)*0.000001, $C$2, D12*0.000001, $D$2, E12*0.000001)))</f>
        <v/>
      </c>
      <c r="C12" s="28"/>
      <c r="D12" s="15" t="str" cm="1">
        <f t="array" ref="D12">IF(A12="", "", IF(M12="", 0, _xlfn.IFS(M12="Class 2", 20, M12="Class 3", 28, M12="Unlocked", MAX(0, (J12*0.36 - (IF(L12="Trail", 0.0065, 0.005) + 0.11 * _xlfn.IFS(L12="Urban", 0, L12="Suburban", 0.015, L12="City Hills", 0.045, L12="Trail", 0.02)) * (F12+G12)) / 0.018)^(1/3))))</f>
        <v/>
      </c>
      <c r="E12" s="16" t="str">
        <f t="shared" si="0"/>
        <v/>
      </c>
      <c r="F12" s="18"/>
      <c r="G12" s="28" t="str">
        <f t="shared" si="1"/>
        <v/>
      </c>
      <c r="H12" s="18"/>
      <c r="I12" s="18"/>
      <c r="J12" s="18"/>
      <c r="K12" s="28"/>
      <c r="L12" s="18"/>
      <c r="M12" s="28"/>
      <c r="N12" s="17" t="str">
        <f t="shared" si="2"/>
        <v/>
      </c>
      <c r="O12" s="14" t="str" cm="1">
        <f t="array" ref="O12">IF(A12="", "", TEXT(IF(L12="", 0, (((0.018 * D12^2) + (IF(L12="Trail", 0.0065, 0.005) * (F12+G12)) + (0.11 * (F12+G12) * _xlfn.IFS(L12="Urban", 0, L12="Suburban", 0.015, L12="City Hills", 0.045, L12="Trail", 0.02))) / 0.55)), "0.0"))</f>
        <v/>
      </c>
      <c r="P12" s="18"/>
      <c r="Q12" s="29">
        <v>8</v>
      </c>
      <c r="R12" s="1"/>
      <c r="S12" s="9"/>
      <c r="T12" s="10" t="str">
        <f t="shared" si="3"/>
        <v/>
      </c>
      <c r="U12" s="19"/>
      <c r="V12" s="19"/>
      <c r="W12" s="19"/>
    </row>
    <row r="13" spans="1:23" x14ac:dyDescent="0.35">
      <c r="A13" s="27"/>
      <c r="B13" s="14" t="str" cm="1">
        <f t="array" ref="B13">IF(A13="", "", IF(UPPER(P13)="C", 1, MIN(5, MAX(1, ROUND(((E13/50)*1 + IF(E13&gt;=30, 0.3, 0)) + ((D13/28)*2.2 + IF(D13&gt;=28, 0.4, 0)) - ((C13/1000)*1) + 1.6, 2) - IF(UPPER(P13)="Y", 1.6, 0))) + _xlfn.IFS($B$2, (10000-C13)*0.000001, $C$2, D13*0.000001, $D$2, E13*0.000001)))</f>
        <v/>
      </c>
      <c r="C13" s="28"/>
      <c r="D13" s="15" t="str" cm="1">
        <f t="array" ref="D13">IF(A13="", "", IF(M13="", 0, _xlfn.IFS(M13="Class 2", 20, M13="Class 3", 28, M13="Unlocked", MAX(0, (J13*0.36 - (IF(L13="Trail", 0.0065, 0.005) + 0.11 * _xlfn.IFS(L13="Urban", 0, L13="Suburban", 0.015, L13="City Hills", 0.045, L13="Trail", 0.02)) * (F13+G13)) / 0.018)^(1/3))))</f>
        <v/>
      </c>
      <c r="E13" s="16" t="str">
        <f t="shared" si="0"/>
        <v/>
      </c>
      <c r="F13" s="18"/>
      <c r="G13" s="28" t="str">
        <f t="shared" si="1"/>
        <v/>
      </c>
      <c r="H13" s="18"/>
      <c r="I13" s="18"/>
      <c r="J13" s="18"/>
      <c r="K13" s="28"/>
      <c r="L13" s="18"/>
      <c r="M13" s="28"/>
      <c r="N13" s="17" t="str">
        <f t="shared" si="2"/>
        <v/>
      </c>
      <c r="O13" s="14" t="str" cm="1">
        <f t="array" ref="O13">IF(A13="", "", TEXT(IF(L13="", 0, (((0.018 * D13^2) + (IF(L13="Trail", 0.0065, 0.005) * (F13+G13)) + (0.11 * (F13+G13) * _xlfn.IFS(L13="Urban", 0, L13="Suburban", 0.015, L13="City Hills", 0.045, L13="Trail", 0.02))) / 0.55)), "0.0"))</f>
        <v/>
      </c>
      <c r="P13" s="18"/>
      <c r="Q13" s="29">
        <v>9</v>
      </c>
      <c r="R13" s="1"/>
      <c r="S13" s="9"/>
      <c r="T13" s="10" t="str">
        <f t="shared" si="3"/>
        <v/>
      </c>
      <c r="U13" s="24" t="s">
        <v>11</v>
      </c>
      <c r="V13" s="25"/>
      <c r="W13" s="19"/>
    </row>
    <row r="14" spans="1:23" x14ac:dyDescent="0.35">
      <c r="A14" s="27"/>
      <c r="B14" s="14" t="str" cm="1">
        <f t="array" ref="B14">IF(A14="", "", IF(UPPER(P14)="C", 1, MIN(5, MAX(1, ROUND(((E14/50)*1 + IF(E14&gt;=30, 0.3, 0)) + ((D14/28)*2.2 + IF(D14&gt;=28, 0.4, 0)) - ((C14/1000)*1) + 1.6, 2) - IF(UPPER(P14)="Y", 1.6, 0))) + _xlfn.IFS($B$2, (10000-C14)*0.000001, $C$2, D14*0.000001, $D$2, E14*0.000001)))</f>
        <v/>
      </c>
      <c r="C14" s="28"/>
      <c r="D14" s="15" t="str" cm="1">
        <f t="array" ref="D14">IF(A14="", "", IF(M14="", 0, _xlfn.IFS(M14="Class 2", 20, M14="Class 3", 28, M14="Unlocked", MAX(0, (J14*0.36 - (IF(L14="Trail", 0.0065, 0.005) + 0.11 * _xlfn.IFS(L14="Urban", 0, L14="Suburban", 0.015, L14="City Hills", 0.045, L14="Trail", 0.02)) * (F14+G14)) / 0.018)^(1/3))))</f>
        <v/>
      </c>
      <c r="E14" s="16" t="str">
        <f t="shared" si="0"/>
        <v/>
      </c>
      <c r="F14" s="18"/>
      <c r="G14" s="28" t="str">
        <f t="shared" si="1"/>
        <v/>
      </c>
      <c r="H14" s="18"/>
      <c r="I14" s="18"/>
      <c r="J14" s="18"/>
      <c r="K14" s="28"/>
      <c r="L14" s="18"/>
      <c r="M14" s="28"/>
      <c r="N14" s="17" t="str">
        <f t="shared" si="2"/>
        <v/>
      </c>
      <c r="O14" s="14" t="str" cm="1">
        <f t="array" ref="O14">IF(A14="", "", TEXT(IF(L14="", 0, (((0.018 * D14^2) + (IF(L14="Trail", 0.0065, 0.005) * (F14+G14)) + (0.11 * (F14+G14) * _xlfn.IFS(L14="Urban", 0, L14="Suburban", 0.015, L14="City Hills", 0.045, L14="Trail", 0.02))) / 0.55)), "0.0"))</f>
        <v/>
      </c>
      <c r="P14" s="18"/>
      <c r="Q14" s="29">
        <v>10</v>
      </c>
      <c r="R14" s="1"/>
      <c r="S14" s="9"/>
      <c r="T14" s="10" t="str">
        <f t="shared" si="3"/>
        <v/>
      </c>
      <c r="U14" s="19"/>
      <c r="V14" s="19"/>
      <c r="W14" s="19"/>
    </row>
    <row r="15" spans="1:23" x14ac:dyDescent="0.35">
      <c r="A15" s="27"/>
      <c r="B15" s="14" t="str" cm="1">
        <f t="array" ref="B15">IF(A15="", "", IF(UPPER(P15)="C", 1, MIN(5, MAX(1, ROUND(((E15/50)*1 + IF(E15&gt;=30, 0.3, 0)) + ((D15/28)*2.2 + IF(D15&gt;=28, 0.4, 0)) - ((C15/1000)*1) + 1.6, 2) - IF(UPPER(P15)="Y", 1.6, 0))) + _xlfn.IFS($B$2, (10000-C15)*0.000001, $C$2, D15*0.000001, $D$2, E15*0.000001)))</f>
        <v/>
      </c>
      <c r="C15" s="28"/>
      <c r="D15" s="15" t="str" cm="1">
        <f t="array" ref="D15">IF(A15="", "", IF(M15="", 0, _xlfn.IFS(M15="Class 2", 20, M15="Class 3", 28, M15="Unlocked", MAX(0, (J15*0.36 - (IF(L15="Trail", 0.0065, 0.005) + 0.11 * _xlfn.IFS(L15="Urban", 0, L15="Suburban", 0.015, L15="City Hills", 0.045, L15="Trail", 0.02)) * (F15+G15)) / 0.018)^(1/3))))</f>
        <v/>
      </c>
      <c r="E15" s="16" t="str">
        <f t="shared" si="0"/>
        <v/>
      </c>
      <c r="F15" s="18"/>
      <c r="G15" s="28" t="str">
        <f t="shared" si="1"/>
        <v/>
      </c>
      <c r="H15" s="18"/>
      <c r="I15" s="18"/>
      <c r="J15" s="18"/>
      <c r="K15" s="28"/>
      <c r="L15" s="18"/>
      <c r="M15" s="28"/>
      <c r="N15" s="17" t="str">
        <f t="shared" si="2"/>
        <v/>
      </c>
      <c r="O15" s="14" t="str" cm="1">
        <f t="array" ref="O15">IF(A15="", "", TEXT(IF(L15="", 0, (((0.018 * D15^2) + (IF(L15="Trail", 0.0065, 0.005) * (F15+G15)) + (0.11 * (F15+G15) * _xlfn.IFS(L15="Urban", 0, L15="Suburban", 0.015, L15="City Hills", 0.045, L15="Trail", 0.02))) / 0.55)), "0.0"))</f>
        <v/>
      </c>
      <c r="P15" s="18"/>
      <c r="Q15" s="29"/>
      <c r="R15" s="20"/>
      <c r="S15" s="21"/>
      <c r="T15" s="19"/>
      <c r="U15" s="19"/>
      <c r="V15" s="19"/>
      <c r="W15" s="19"/>
    </row>
    <row r="16" spans="1:23" x14ac:dyDescent="0.35">
      <c r="A16" s="27"/>
      <c r="B16" s="14" t="str" cm="1">
        <f t="array" ref="B16">IF(A16="", "", IF(UPPER(P16)="C", 1, MIN(5, MAX(1, ROUND(((E16/50)*1 + IF(E16&gt;=30, 0.3, 0)) + ((D16/28)*2.2 + IF(D16&gt;=28, 0.4, 0)) - ((C16/1000)*1) + 1.6, 2) - IF(UPPER(P16)="Y", 1.6, 0))) + _xlfn.IFS($B$2, (10000-C16)*0.000001, $C$2, D16*0.000001, $D$2, E16*0.000001)))</f>
        <v/>
      </c>
      <c r="C16" s="28"/>
      <c r="D16" s="15" t="str" cm="1">
        <f t="array" ref="D16">IF(A16="", "", IF(M16="", 0, _xlfn.IFS(M16="Class 2", 20, M16="Class 3", 28, M16="Unlocked", MAX(0, (J16*0.36 - (IF(L16="Trail", 0.0065, 0.005) + 0.11 * _xlfn.IFS(L16="Urban", 0, L16="Suburban", 0.015, L16="City Hills", 0.045, L16="Trail", 0.02)) * (F16+G16)) / 0.018)^(1/3))))</f>
        <v/>
      </c>
      <c r="E16" s="16" t="str">
        <f t="shared" si="0"/>
        <v/>
      </c>
      <c r="F16" s="18"/>
      <c r="G16" s="28" t="str">
        <f t="shared" si="1"/>
        <v/>
      </c>
      <c r="H16" s="18"/>
      <c r="I16" s="18"/>
      <c r="J16" s="18"/>
      <c r="K16" s="28"/>
      <c r="L16" s="18"/>
      <c r="M16" s="28"/>
      <c r="N16" s="17" t="str">
        <f t="shared" si="2"/>
        <v/>
      </c>
      <c r="O16" s="14" t="str" cm="1">
        <f t="array" ref="O16">IF(A16="", "", TEXT(IF(L16="", 0, (((0.018 * D16^2) + (IF(L16="Trail", 0.0065, 0.005) * (F16+G16)) + (0.11 * (F16+G16) * _xlfn.IFS(L16="Urban", 0, L16="Suburban", 0.015, L16="City Hills", 0.045, L16="Trail", 0.02))) / 0.55)), "0.0"))</f>
        <v/>
      </c>
      <c r="P16" s="18"/>
      <c r="Q16" s="29"/>
      <c r="R16" s="20"/>
      <c r="S16" s="21"/>
      <c r="T16" s="19"/>
      <c r="U16" s="19"/>
      <c r="V16" s="19"/>
      <c r="W16" s="19"/>
    </row>
    <row r="17" spans="1:23" x14ac:dyDescent="0.35">
      <c r="A17" s="27"/>
      <c r="B17" s="14" t="str" cm="1">
        <f t="array" ref="B17">IF(A17="", "", IF(UPPER(P17)="C", 1, MIN(5, MAX(1, ROUND(((E17/50)*1 + IF(E17&gt;=30, 0.3, 0)) + ((D17/28)*2.2 + IF(D17&gt;=28, 0.4, 0)) - ((C17/1000)*1) + 1.6, 2) - IF(UPPER(P17)="Y", 1.6, 0))) + _xlfn.IFS($B$2, (10000-C17)*0.000001, $C$2, D17*0.000001, $D$2, E17*0.000001)))</f>
        <v/>
      </c>
      <c r="C17" s="28"/>
      <c r="D17" s="15" t="str" cm="1">
        <f t="array" ref="D17">IF(A17="", "", IF(M17="", 0, _xlfn.IFS(M17="Class 2", 20, M17="Class 3", 28, M17="Unlocked", MAX(0, (J17*0.36 - (IF(L17="Trail", 0.0065, 0.005) + 0.11 * _xlfn.IFS(L17="Urban", 0, L17="Suburban", 0.015, L17="City Hills", 0.045, L17="Trail", 0.02)) * (F17+G17)) / 0.018)^(1/3))))</f>
        <v/>
      </c>
      <c r="E17" s="16" t="str">
        <f t="shared" si="0"/>
        <v/>
      </c>
      <c r="F17" s="18"/>
      <c r="G17" s="28" t="str">
        <f t="shared" si="1"/>
        <v/>
      </c>
      <c r="H17" s="18"/>
      <c r="I17" s="18"/>
      <c r="J17" s="18"/>
      <c r="K17" s="28"/>
      <c r="L17" s="18"/>
      <c r="M17" s="28"/>
      <c r="N17" s="17" t="str">
        <f t="shared" si="2"/>
        <v/>
      </c>
      <c r="O17" s="14" t="str" cm="1">
        <f t="array" ref="O17">IF(A17="", "", TEXT(IF(L17="", 0, (((0.018 * D17^2) + (IF(L17="Trail", 0.0065, 0.005) * (F17+G17)) + (0.11 * (F17+G17) * _xlfn.IFS(L17="Urban", 0, L17="Suburban", 0.015, L17="City Hills", 0.045, L17="Trail", 0.02))) / 0.55)), "0.0"))</f>
        <v/>
      </c>
      <c r="P17" s="18"/>
      <c r="Q17" s="29"/>
      <c r="R17" s="20"/>
      <c r="S17" s="21"/>
      <c r="T17" s="19"/>
      <c r="U17" s="19"/>
      <c r="V17" s="19"/>
      <c r="W17" s="19"/>
    </row>
    <row r="18" spans="1:23" x14ac:dyDescent="0.35">
      <c r="A18" s="27"/>
      <c r="B18" s="14" t="str" cm="1">
        <f t="array" ref="B18">IF(A18="", "", IF(UPPER(P18)="C", 1, MIN(5, MAX(1, ROUND(((E18/50)*1 + IF(E18&gt;=30, 0.3, 0)) + ((D18/28)*2.2 + IF(D18&gt;=28, 0.4, 0)) - ((C18/1000)*1) + 1.6, 2) - IF(UPPER(P18)="Y", 1.6, 0))) + _xlfn.IFS($B$2, (10000-C18)*0.000001, $C$2, D18*0.000001, $D$2, E18*0.000001)))</f>
        <v/>
      </c>
      <c r="C18" s="28"/>
      <c r="D18" s="15" t="str" cm="1">
        <f t="array" ref="D18">IF(A18="", "", IF(M18="", 0, _xlfn.IFS(M18="Class 2", 20, M18="Class 3", 28, M18="Unlocked", MAX(0, (J18*0.36 - (IF(L18="Trail", 0.0065, 0.005) + 0.11 * _xlfn.IFS(L18="Urban", 0, L18="Suburban", 0.015, L18="City Hills", 0.045, L18="Trail", 0.02)) * (F18+G18)) / 0.018)^(1/3))))</f>
        <v/>
      </c>
      <c r="E18" s="16" t="str">
        <f t="shared" si="0"/>
        <v/>
      </c>
      <c r="F18" s="18"/>
      <c r="G18" s="28" t="str">
        <f t="shared" si="1"/>
        <v/>
      </c>
      <c r="H18" s="18"/>
      <c r="I18" s="18"/>
      <c r="J18" s="18"/>
      <c r="K18" s="28"/>
      <c r="L18" s="18"/>
      <c r="M18" s="28"/>
      <c r="N18" s="17" t="str">
        <f t="shared" si="2"/>
        <v/>
      </c>
      <c r="O18" s="14" t="str" cm="1">
        <f t="array" ref="O18">IF(A18="", "", TEXT(IF(L18="", 0, (((0.018 * D18^2) + (IF(L18="Trail", 0.0065, 0.005) * (F18+G18)) + (0.11 * (F18+G18) * _xlfn.IFS(L18="Urban", 0, L18="Suburban", 0.015, L18="City Hills", 0.045, L18="Trail", 0.02))) / 0.55)), "0.0"))</f>
        <v/>
      </c>
      <c r="P18" s="18"/>
      <c r="Q18" s="29"/>
      <c r="R18" s="20"/>
      <c r="S18" s="21"/>
      <c r="T18" s="19"/>
      <c r="U18" s="19"/>
      <c r="V18" s="19"/>
      <c r="W18" s="19"/>
    </row>
    <row r="19" spans="1:23" x14ac:dyDescent="0.35">
      <c r="A19" s="27"/>
      <c r="B19" s="14" t="str" cm="1">
        <f t="array" ref="B19">IF(A19="", "", IF(UPPER(P19)="C", 1, MIN(5, MAX(1, ROUND(((E19/50)*1 + IF(E19&gt;=30, 0.3, 0)) + ((D19/28)*2.2 + IF(D19&gt;=28, 0.4, 0)) - ((C19/1000)*1) + 1.6, 2) - IF(UPPER(P19)="Y", 1.6, 0))) + _xlfn.IFS($B$2, (10000-C19)*0.000001, $C$2, D19*0.000001, $D$2, E19*0.000001)))</f>
        <v/>
      </c>
      <c r="C19" s="28"/>
      <c r="D19" s="15" t="str" cm="1">
        <f t="array" ref="D19">IF(A19="", "", IF(M19="", 0, _xlfn.IFS(M19="Class 2", 20, M19="Class 3", 28, M19="Unlocked", MAX(0, (J19*0.36 - (IF(L19="Trail", 0.0065, 0.005) + 0.11 * _xlfn.IFS(L19="Urban", 0, L19="Suburban", 0.015, L19="City Hills", 0.045, L19="Trail", 0.02)) * (F19+G19)) / 0.018)^(1/3))))</f>
        <v/>
      </c>
      <c r="E19" s="16" t="str">
        <f t="shared" si="0"/>
        <v/>
      </c>
      <c r="F19" s="18"/>
      <c r="G19" s="28" t="str">
        <f t="shared" si="1"/>
        <v/>
      </c>
      <c r="H19" s="18"/>
      <c r="I19" s="18"/>
      <c r="J19" s="18"/>
      <c r="K19" s="28"/>
      <c r="L19" s="18"/>
      <c r="M19" s="28"/>
      <c r="N19" s="17" t="str">
        <f t="shared" si="2"/>
        <v/>
      </c>
      <c r="O19" s="14" t="str" cm="1">
        <f t="array" ref="O19">IF(A19="", "", TEXT(IF(L19="", 0, (((0.018 * D19^2) + (IF(L19="Trail", 0.0065, 0.005) * (F19+G19)) + (0.11 * (F19+G19) * _xlfn.IFS(L19="Urban", 0, L19="Suburban", 0.015, L19="City Hills", 0.045, L19="Trail", 0.02))) / 0.55)), "0.0"))</f>
        <v/>
      </c>
      <c r="P19" s="18"/>
      <c r="Q19" s="29"/>
      <c r="R19" s="20"/>
      <c r="S19" s="21"/>
      <c r="T19" s="19"/>
      <c r="U19" s="19"/>
      <c r="V19" s="19"/>
      <c r="W19" s="19"/>
    </row>
    <row r="20" spans="1:23" x14ac:dyDescent="0.35">
      <c r="A20" s="27"/>
      <c r="B20" s="14" t="str" cm="1">
        <f t="array" ref="B20">IF(A20="", "", IF(UPPER(P20)="C", 1, MIN(5, MAX(1, ROUND(((E20/50)*1 + IF(E20&gt;=30, 0.3, 0)) + ((D20/28)*2.2 + IF(D20&gt;=28, 0.4, 0)) - ((C20/1000)*1) + 1.6, 2) - IF(UPPER(P20)="Y", 1.6, 0))) + _xlfn.IFS($B$2, (10000-C20)*0.000001, $C$2, D20*0.000001, $D$2, E20*0.000001)))</f>
        <v/>
      </c>
      <c r="C20" s="28"/>
      <c r="D20" s="15" t="str" cm="1">
        <f t="array" ref="D20">IF(A20="", "", IF(M20="", 0, _xlfn.IFS(M20="Class 2", 20, M20="Class 3", 28, M20="Unlocked", MAX(0, (J20*0.36 - (IF(L20="Trail", 0.0065, 0.005) + 0.11 * _xlfn.IFS(L20="Urban", 0, L20="Suburban", 0.015, L20="City Hills", 0.045, L20="Trail", 0.02)) * (F20+G20)) / 0.018)^(1/3))))</f>
        <v/>
      </c>
      <c r="E20" s="16" t="str">
        <f t="shared" si="0"/>
        <v/>
      </c>
      <c r="F20" s="18"/>
      <c r="G20" s="28" t="str">
        <f t="shared" si="1"/>
        <v/>
      </c>
      <c r="H20" s="18"/>
      <c r="I20" s="18"/>
      <c r="J20" s="18"/>
      <c r="K20" s="28"/>
      <c r="L20" s="18"/>
      <c r="M20" s="28"/>
      <c r="N20" s="17" t="str">
        <f t="shared" si="2"/>
        <v/>
      </c>
      <c r="O20" s="14" t="str" cm="1">
        <f t="array" ref="O20">IF(A20="", "", TEXT(IF(L20="", 0, (((0.018 * D20^2) + (IF(L20="Trail", 0.0065, 0.005) * (F20+G20)) + (0.11 * (F20+G20) * _xlfn.IFS(L20="Urban", 0, L20="Suburban", 0.015, L20="City Hills", 0.045, L20="Trail", 0.02))) / 0.55)), "0.0"))</f>
        <v/>
      </c>
      <c r="P20" s="18"/>
      <c r="Q20" s="29"/>
      <c r="R20" s="20"/>
      <c r="S20" s="21"/>
      <c r="T20" s="19"/>
      <c r="U20" s="19"/>
      <c r="V20" s="19"/>
      <c r="W20" s="19"/>
    </row>
    <row r="21" spans="1:23" x14ac:dyDescent="0.35">
      <c r="A21" s="27"/>
      <c r="B21" s="14" t="str" cm="1">
        <f t="array" ref="B21">IF(A21="", "", IF(UPPER(P21)="C", 1, MIN(5, MAX(1, ROUND(((E21/50)*1 + IF(E21&gt;=30, 0.3, 0)) + ((D21/28)*2.2 + IF(D21&gt;=28, 0.4, 0)) - ((C21/1000)*1) + 1.6, 2) - IF(UPPER(P21)="Y", 1.6, 0))) + _xlfn.IFS($B$2, (10000-C21)*0.000001, $C$2, D21*0.000001, $D$2, E21*0.000001)))</f>
        <v/>
      </c>
      <c r="C21" s="28"/>
      <c r="D21" s="15" t="str" cm="1">
        <f t="array" ref="D21">IF(A21="", "", IF(M21="", 0, _xlfn.IFS(M21="Class 2", 20, M21="Class 3", 28, M21="Unlocked", MAX(0, (J21*0.36 - (IF(L21="Trail", 0.0065, 0.005) + 0.11 * _xlfn.IFS(L21="Urban", 0, L21="Suburban", 0.015, L21="City Hills", 0.045, L21="Trail", 0.02)) * (F21+G21)) / 0.018)^(1/3))))</f>
        <v/>
      </c>
      <c r="E21" s="16" t="str">
        <f t="shared" si="0"/>
        <v/>
      </c>
      <c r="F21" s="18"/>
      <c r="G21" s="28" t="str">
        <f t="shared" si="1"/>
        <v/>
      </c>
      <c r="H21" s="18"/>
      <c r="I21" s="18"/>
      <c r="J21" s="18"/>
      <c r="K21" s="28"/>
      <c r="L21" s="18"/>
      <c r="M21" s="28"/>
      <c r="N21" s="17" t="str">
        <f t="shared" si="2"/>
        <v/>
      </c>
      <c r="O21" s="14" t="str" cm="1">
        <f t="array" ref="O21">IF(A21="", "", TEXT(IF(L21="", 0, (((0.018 * D21^2) + (IF(L21="Trail", 0.0065, 0.005) * (F21+G21)) + (0.11 * (F21+G21) * _xlfn.IFS(L21="Urban", 0, L21="Suburban", 0.015, L21="City Hills", 0.045, L21="Trail", 0.02))) / 0.55)), "0.0"))</f>
        <v/>
      </c>
      <c r="P21" s="18"/>
      <c r="Q21" s="29"/>
      <c r="R21" s="19"/>
      <c r="S21" s="19"/>
      <c r="T21" s="19"/>
      <c r="U21" s="19"/>
      <c r="V21" s="19"/>
      <c r="W21" s="19"/>
    </row>
    <row r="22" spans="1:23" x14ac:dyDescent="0.35">
      <c r="A22" s="27"/>
      <c r="B22" s="14" t="str" cm="1">
        <f t="array" ref="B22">IF(A22="", "", IF(UPPER(P22)="C", 1, MIN(5, MAX(1, ROUND(((E22/50)*1 + IF(E22&gt;=30, 0.3, 0)) + ((D22/28)*2.2 + IF(D22&gt;=28, 0.4, 0)) - ((C22/1000)*1) + 1.6, 2) - IF(UPPER(P22)="Y", 1.6, 0))) + _xlfn.IFS($B$2, (10000-C22)*0.000001, $C$2, D22*0.000001, $D$2, E22*0.000001)))</f>
        <v/>
      </c>
      <c r="C22" s="28"/>
      <c r="D22" s="15" t="str" cm="1">
        <f t="array" ref="D22">IF(A22="", "", IF(M22="", 0, _xlfn.IFS(M22="Class 2", 20, M22="Class 3", 28, M22="Unlocked", MAX(0, (J22*0.36 - (IF(L22="Trail", 0.0065, 0.005) + 0.11 * _xlfn.IFS(L22="Urban", 0, L22="Suburban", 0.015, L22="City Hills", 0.045, L22="Trail", 0.02)) * (F22+G22)) / 0.018)^(1/3))))</f>
        <v/>
      </c>
      <c r="E22" s="16" t="str">
        <f t="shared" si="0"/>
        <v/>
      </c>
      <c r="F22" s="18"/>
      <c r="G22" s="28" t="str">
        <f t="shared" si="1"/>
        <v/>
      </c>
      <c r="H22" s="18"/>
      <c r="I22" s="18"/>
      <c r="J22" s="18"/>
      <c r="K22" s="28"/>
      <c r="L22" s="18"/>
      <c r="M22" s="28"/>
      <c r="N22" s="17" t="str">
        <f t="shared" si="2"/>
        <v/>
      </c>
      <c r="O22" s="14" t="str" cm="1">
        <f t="array" ref="O22">IF(A22="", "", TEXT(IF(L22="", 0, (((0.018 * D22^2) + (IF(L22="Trail", 0.0065, 0.005) * (F22+G22)) + (0.11 * (F22+G22) * _xlfn.IFS(L22="Urban", 0, L22="Suburban", 0.015, L22="City Hills", 0.045, L22="Trail", 0.02))) / 0.55)), "0.0"))</f>
        <v/>
      </c>
      <c r="P22" s="18"/>
      <c r="Q22" s="29"/>
      <c r="R22" s="19"/>
      <c r="S22" s="19"/>
      <c r="T22" s="19"/>
      <c r="U22" s="19"/>
      <c r="V22" s="19"/>
      <c r="W22" s="19"/>
    </row>
    <row r="23" spans="1:23" x14ac:dyDescent="0.35">
      <c r="A23" s="27"/>
      <c r="B23" s="14" t="str" cm="1">
        <f t="array" ref="B23">IF(A23="", "", IF(UPPER(P23)="C", 1, MIN(5, MAX(1, ROUND(((E23/50)*1 + IF(E23&gt;=30, 0.3, 0)) + ((D23/28)*2.2 + IF(D23&gt;=28, 0.4, 0)) - ((C23/1000)*1) + 1.6, 2) - IF(UPPER(P23)="Y", 1.6, 0))) + _xlfn.IFS($B$2, (10000-C23)*0.000001, $C$2, D23*0.000001, $D$2, E23*0.000001)))</f>
        <v/>
      </c>
      <c r="C23" s="28"/>
      <c r="D23" s="15" t="str" cm="1">
        <f t="array" ref="D23">IF(A23="", "", IF(M23="", 0, _xlfn.IFS(M23="Class 2", 20, M23="Class 3", 28, M23="Unlocked", MAX(0, (J23*0.36 - (IF(L23="Trail", 0.0065, 0.005) + 0.11 * _xlfn.IFS(L23="Urban", 0, L23="Suburban", 0.015, L23="City Hills", 0.045, L23="Trail", 0.02)) * (F23+G23)) / 0.018)^(1/3))))</f>
        <v/>
      </c>
      <c r="E23" s="16" t="str">
        <f t="shared" si="0"/>
        <v/>
      </c>
      <c r="F23" s="18"/>
      <c r="G23" s="28" t="str">
        <f t="shared" si="1"/>
        <v/>
      </c>
      <c r="H23" s="18"/>
      <c r="I23" s="18"/>
      <c r="J23" s="18"/>
      <c r="K23" s="28"/>
      <c r="L23" s="18"/>
      <c r="M23" s="28"/>
      <c r="N23" s="17" t="str">
        <f t="shared" si="2"/>
        <v/>
      </c>
      <c r="O23" s="14" t="str" cm="1">
        <f t="array" ref="O23">IF(A23="", "", TEXT(IF(L23="", 0, (((0.018 * D23^2) + (IF(L23="Trail", 0.0065, 0.005) * (F23+G23)) + (0.11 * (F23+G23) * _xlfn.IFS(L23="Urban", 0, L23="Suburban", 0.015, L23="City Hills", 0.045, L23="Trail", 0.02))) / 0.55)), "0.0"))</f>
        <v/>
      </c>
      <c r="P23" s="18"/>
      <c r="Q23" s="29"/>
      <c r="R23" s="19"/>
      <c r="S23" s="19"/>
      <c r="T23" s="19"/>
      <c r="U23" s="19"/>
      <c r="V23" s="19"/>
      <c r="W23" s="19"/>
    </row>
    <row r="24" spans="1:23" x14ac:dyDescent="0.35">
      <c r="A24" s="27"/>
      <c r="B24" s="14" t="str" cm="1">
        <f t="array" ref="B24">IF(A24="", "", IF(UPPER(P24)="C", 1, MIN(5, MAX(1, ROUND(((E24/50)*1 + IF(E24&gt;=30, 0.3, 0)) + ((D24/28)*2.2 + IF(D24&gt;=28, 0.4, 0)) - ((C24/1000)*1) + 1.6, 2) - IF(UPPER(P24)="Y", 1.6, 0))) + _xlfn.IFS($B$2, (10000-C24)*0.000001, $C$2, D24*0.000001, $D$2, E24*0.000001)))</f>
        <v/>
      </c>
      <c r="C24" s="28"/>
      <c r="D24" s="15" t="str" cm="1">
        <f t="array" ref="D24">IF(A24="", "", IF(M24="", 0, _xlfn.IFS(M24="Class 2", 20, M24="Class 3", 28, M24="Unlocked", MAX(0, (J24*0.36 - (IF(L24="Trail", 0.0065, 0.005) + 0.11 * _xlfn.IFS(L24="Urban", 0, L24="Suburban", 0.015, L24="City Hills", 0.045, L24="Trail", 0.02)) * (F24+G24)) / 0.018)^(1/3))))</f>
        <v/>
      </c>
      <c r="E24" s="16" t="str">
        <f t="shared" si="0"/>
        <v/>
      </c>
      <c r="F24" s="18"/>
      <c r="G24" s="28" t="str">
        <f t="shared" si="1"/>
        <v/>
      </c>
      <c r="H24" s="18"/>
      <c r="I24" s="18"/>
      <c r="J24" s="18"/>
      <c r="K24" s="28"/>
      <c r="L24" s="18"/>
      <c r="M24" s="28"/>
      <c r="N24" s="17" t="str">
        <f t="shared" si="2"/>
        <v/>
      </c>
      <c r="O24" s="14" t="str" cm="1">
        <f t="array" ref="O24">IF(A24="", "", TEXT(IF(L24="", 0, (((0.018 * D24^2) + (IF(L24="Trail", 0.0065, 0.005) * (F24+G24)) + (0.11 * (F24+G24) * _xlfn.IFS(L24="Urban", 0, L24="Suburban", 0.015, L24="City Hills", 0.045, L24="Trail", 0.02))) / 0.55)), "0.0"))</f>
        <v/>
      </c>
      <c r="P24" s="18"/>
      <c r="Q24" s="29"/>
      <c r="R24" s="19"/>
      <c r="S24" s="19"/>
      <c r="T24" s="19"/>
      <c r="U24" s="19"/>
      <c r="V24" s="19"/>
      <c r="W24" s="19"/>
    </row>
    <row r="25" spans="1:23" x14ac:dyDescent="0.35">
      <c r="A25" s="27"/>
      <c r="B25" s="14" t="str" cm="1">
        <f t="array" ref="B25">IF(A25="", "", IF(UPPER(P25)="C", 1, MIN(5, MAX(1, ROUND(((E25/50)*1 + IF(E25&gt;=30, 0.3, 0)) + ((D25/28)*2.2 + IF(D25&gt;=28, 0.4, 0)) - ((C25/1000)*1) + 1.6, 2) - IF(UPPER(P25)="Y", 1.6, 0))) + _xlfn.IFS($B$2, (10000-C25)*0.000001, $C$2, D25*0.000001, $D$2, E25*0.000001)))</f>
        <v/>
      </c>
      <c r="C25" s="28"/>
      <c r="D25" s="15" t="str" cm="1">
        <f t="array" ref="D25">IF(A25="", "", IF(M25="", 0, _xlfn.IFS(M25="Class 2", 20, M25="Class 3", 28, M25="Unlocked", MAX(0, (J25*0.36 - (IF(L25="Trail", 0.0065, 0.005) + 0.11 * _xlfn.IFS(L25="Urban", 0, L25="Suburban", 0.015, L25="City Hills", 0.045, L25="Trail", 0.02)) * (F25+G25)) / 0.018)^(1/3))))</f>
        <v/>
      </c>
      <c r="E25" s="16" t="str">
        <f t="shared" si="0"/>
        <v/>
      </c>
      <c r="F25" s="18"/>
      <c r="G25" s="28" t="str">
        <f t="shared" si="1"/>
        <v/>
      </c>
      <c r="H25" s="18"/>
      <c r="I25" s="18"/>
      <c r="J25" s="18"/>
      <c r="K25" s="28"/>
      <c r="L25" s="18"/>
      <c r="M25" s="28"/>
      <c r="N25" s="17" t="str">
        <f t="shared" si="2"/>
        <v/>
      </c>
      <c r="O25" s="14" t="str" cm="1">
        <f t="array" ref="O25">IF(A25="", "", TEXT(IF(L25="", 0, (((0.018 * D25^2) + (IF(L25="Trail", 0.0065, 0.005) * (F25+G25)) + (0.11 * (F25+G25) * _xlfn.IFS(L25="Urban", 0, L25="Suburban", 0.015, L25="City Hills", 0.045, L25="Trail", 0.02))) / 0.55)), "0.0"))</f>
        <v/>
      </c>
      <c r="P25" s="18"/>
      <c r="Q25" s="29"/>
      <c r="R25" s="19"/>
      <c r="S25" s="19"/>
      <c r="T25" s="19"/>
      <c r="U25" s="19"/>
      <c r="V25" s="19"/>
      <c r="W25" s="19"/>
    </row>
    <row r="26" spans="1:23" x14ac:dyDescent="0.35">
      <c r="A26" s="27"/>
      <c r="B26" s="14" t="str" cm="1">
        <f t="array" ref="B26">IF(A26="", "", IF(UPPER(P26)="C", 1, MIN(5, MAX(1, ROUND(((E26/50)*1 + IF(E26&gt;=30, 0.3, 0)) + ((D26/28)*2.2 + IF(D26&gt;=28, 0.4, 0)) - ((C26/1000)*1) + 1.6, 2) - IF(UPPER(P26)="Y", 1.6, 0))) + _xlfn.IFS($B$2, (10000-C26)*0.000001, $C$2, D26*0.000001, $D$2, E26*0.000001)))</f>
        <v/>
      </c>
      <c r="C26" s="28"/>
      <c r="D26" s="15" t="str" cm="1">
        <f t="array" ref="D26">IF(A26="", "", IF(M26="", 0, _xlfn.IFS(M26="Class 2", 20, M26="Class 3", 28, M26="Unlocked", MAX(0, (J26*0.36 - (IF(L26="Trail", 0.0065, 0.005) + 0.11 * _xlfn.IFS(L26="Urban", 0, L26="Suburban", 0.015, L26="City Hills", 0.045, L26="Trail", 0.02)) * (F26+G26)) / 0.018)^(1/3))))</f>
        <v/>
      </c>
      <c r="E26" s="16" t="str">
        <f t="shared" si="0"/>
        <v/>
      </c>
      <c r="F26" s="18"/>
      <c r="G26" s="28" t="str">
        <f t="shared" si="1"/>
        <v/>
      </c>
      <c r="H26" s="18"/>
      <c r="I26" s="18"/>
      <c r="J26" s="18"/>
      <c r="K26" s="28"/>
      <c r="L26" s="18"/>
      <c r="M26" s="28"/>
      <c r="N26" s="17" t="str">
        <f t="shared" si="2"/>
        <v/>
      </c>
      <c r="O26" s="14" t="str" cm="1">
        <f t="array" ref="O26">IF(A26="", "", TEXT(IF(L26="", 0, (((0.018 * D26^2) + (IF(L26="Trail", 0.0065, 0.005) * (F26+G26)) + (0.11 * (F26+G26) * _xlfn.IFS(L26="Urban", 0, L26="Suburban", 0.015, L26="City Hills", 0.045, L26="Trail", 0.02))) / 0.55)), "0.0"))</f>
        <v/>
      </c>
      <c r="P26" s="18"/>
      <c r="Q26" s="29"/>
      <c r="R26" s="19"/>
      <c r="S26" s="19"/>
      <c r="T26" s="19"/>
      <c r="U26" s="19"/>
      <c r="V26" s="19"/>
      <c r="W26" s="19"/>
    </row>
    <row r="27" spans="1:23" x14ac:dyDescent="0.35">
      <c r="A27" s="27"/>
      <c r="B27" s="14" t="str" cm="1">
        <f t="array" ref="B27">IF(A27="", "", IF(UPPER(P27)="C", 1, MIN(5, MAX(1, ROUND(((E27/50)*1 + IF(E27&gt;=30, 0.3, 0)) + ((D27/28)*2.2 + IF(D27&gt;=28, 0.4, 0)) - ((C27/1000)*1) + 1.6, 2) - IF(UPPER(P27)="Y", 1.6, 0))) + _xlfn.IFS($B$2, (10000-C27)*0.000001, $C$2, D27*0.000001, $D$2, E27*0.000001)))</f>
        <v/>
      </c>
      <c r="C27" s="28"/>
      <c r="D27" s="15" t="str" cm="1">
        <f t="array" ref="D27">IF(A27="", "", IF(M27="", 0, _xlfn.IFS(M27="Class 2", 20, M27="Class 3", 28, M27="Unlocked", MAX(0, (J27*0.36 - (IF(L27="Trail", 0.0065, 0.005) + 0.11 * _xlfn.IFS(L27="Urban", 0, L27="Suburban", 0.015, L27="City Hills", 0.045, L27="Trail", 0.02)) * (F27+G27)) / 0.018)^(1/3))))</f>
        <v/>
      </c>
      <c r="E27" s="16" t="str">
        <f t="shared" si="0"/>
        <v/>
      </c>
      <c r="F27" s="18"/>
      <c r="G27" s="28" t="str">
        <f t="shared" si="1"/>
        <v/>
      </c>
      <c r="H27" s="18"/>
      <c r="I27" s="18"/>
      <c r="J27" s="18"/>
      <c r="K27" s="28"/>
      <c r="L27" s="18"/>
      <c r="M27" s="28"/>
      <c r="N27" s="17" t="str">
        <f t="shared" si="2"/>
        <v/>
      </c>
      <c r="O27" s="14" t="str" cm="1">
        <f t="array" ref="O27">IF(A27="", "", TEXT(IF(L27="", 0, (((0.018 * D27^2) + (IF(L27="Trail", 0.0065, 0.005) * (F27+G27)) + (0.11 * (F27+G27) * _xlfn.IFS(L27="Urban", 0, L27="Suburban", 0.015, L27="City Hills", 0.045, L27="Trail", 0.02))) / 0.55)), "0.0"))</f>
        <v/>
      </c>
      <c r="P27" s="18"/>
      <c r="Q27" s="29"/>
      <c r="R27" s="19"/>
      <c r="S27" s="19"/>
      <c r="T27" s="19"/>
      <c r="U27" s="19"/>
      <c r="V27" s="19"/>
      <c r="W27" s="19"/>
    </row>
    <row r="28" spans="1:23" x14ac:dyDescent="0.35">
      <c r="A28" s="27"/>
      <c r="B28" s="14" t="str" cm="1">
        <f t="array" ref="B28">IF(A28="", "", IF(UPPER(P28)="C", 1, MIN(5, MAX(1, ROUND(((E28/50)*1 + IF(E28&gt;=30, 0.3, 0)) + ((D28/28)*2.2 + IF(D28&gt;=28, 0.4, 0)) - ((C28/1000)*1) + 1.6, 2) - IF(UPPER(P28)="Y", 1.6, 0))) + _xlfn.IFS($B$2, (10000-C28)*0.000001, $C$2, D28*0.000001, $D$2, E28*0.000001)))</f>
        <v/>
      </c>
      <c r="C28" s="28"/>
      <c r="D28" s="15" t="str" cm="1">
        <f t="array" ref="D28">IF(A28="", "", IF(M28="", 0, _xlfn.IFS(M28="Class 2", 20, M28="Class 3", 28, M28="Unlocked", MAX(0, (J28*0.36 - (IF(L28="Trail", 0.0065, 0.005) + 0.11 * _xlfn.IFS(L28="Urban", 0, L28="Suburban", 0.015, L28="City Hills", 0.045, L28="Trail", 0.02)) * (F28+G28)) / 0.018)^(1/3))))</f>
        <v/>
      </c>
      <c r="E28" s="16" t="str">
        <f t="shared" si="0"/>
        <v/>
      </c>
      <c r="F28" s="18"/>
      <c r="G28" s="28" t="str">
        <f t="shared" si="1"/>
        <v/>
      </c>
      <c r="H28" s="18"/>
      <c r="I28" s="18"/>
      <c r="J28" s="18"/>
      <c r="K28" s="28"/>
      <c r="L28" s="18"/>
      <c r="M28" s="28"/>
      <c r="N28" s="17" t="str">
        <f t="shared" si="2"/>
        <v/>
      </c>
      <c r="O28" s="14" t="str" cm="1">
        <f t="array" ref="O28">IF(A28="", "", TEXT(IF(L28="", 0, (((0.018 * D28^2) + (IF(L28="Trail", 0.0065, 0.005) * (F28+G28)) + (0.11 * (F28+G28) * _xlfn.IFS(L28="Urban", 0, L28="Suburban", 0.015, L28="City Hills", 0.045, L28="Trail", 0.02))) / 0.55)), "0.0"))</f>
        <v/>
      </c>
      <c r="P28" s="18"/>
      <c r="Q28" s="29"/>
      <c r="R28" s="19"/>
      <c r="S28" s="19"/>
      <c r="T28" s="19"/>
      <c r="U28" s="19"/>
      <c r="V28" s="19"/>
      <c r="W28" s="19"/>
    </row>
    <row r="29" spans="1:23" x14ac:dyDescent="0.35">
      <c r="A29" s="27"/>
      <c r="B29" s="14" t="str" cm="1">
        <f t="array" ref="B29">IF(A29="", "", IF(UPPER(P29)="C", 1, MIN(5, MAX(1, ROUND(((E29/50)*1 + IF(E29&gt;=30, 0.3, 0)) + ((D29/28)*2.2 + IF(D29&gt;=28, 0.4, 0)) - ((C29/1000)*1) + 1.6, 2) - IF(UPPER(P29)="Y", 1.6, 0))) + _xlfn.IFS($B$2, (10000-C29)*0.000001, $C$2, D29*0.000001, $D$2, E29*0.000001)))</f>
        <v/>
      </c>
      <c r="C29" s="28"/>
      <c r="D29" s="15" t="str" cm="1">
        <f t="array" ref="D29">IF(A29="", "", IF(M29="", 0, _xlfn.IFS(M29="Class 2", 20, M29="Class 3", 28, M29="Unlocked", MAX(0, (J29*0.36 - (IF(L29="Trail", 0.0065, 0.005) + 0.11 * _xlfn.IFS(L29="Urban", 0, L29="Suburban", 0.015, L29="City Hills", 0.045, L29="Trail", 0.02)) * (F29+G29)) / 0.018)^(1/3))))</f>
        <v/>
      </c>
      <c r="E29" s="16" t="str">
        <f t="shared" si="0"/>
        <v/>
      </c>
      <c r="F29" s="18"/>
      <c r="G29" s="28" t="str">
        <f t="shared" si="1"/>
        <v/>
      </c>
      <c r="H29" s="18"/>
      <c r="I29" s="18"/>
      <c r="J29" s="18"/>
      <c r="K29" s="28"/>
      <c r="L29" s="18"/>
      <c r="M29" s="28"/>
      <c r="N29" s="17" t="str">
        <f t="shared" si="2"/>
        <v/>
      </c>
      <c r="O29" s="14" t="str" cm="1">
        <f t="array" ref="O29">IF(A29="", "", TEXT(IF(L29="", 0, (((0.018 * D29^2) + (IF(L29="Trail", 0.0065, 0.005) * (F29+G29)) + (0.11 * (F29+G29) * _xlfn.IFS(L29="Urban", 0, L29="Suburban", 0.015, L29="City Hills", 0.045, L29="Trail", 0.02))) / 0.55)), "0.0"))</f>
        <v/>
      </c>
      <c r="P29" s="18"/>
      <c r="Q29" s="29"/>
      <c r="R29" s="19"/>
      <c r="S29" s="19"/>
      <c r="T29" s="19"/>
      <c r="U29" s="19"/>
      <c r="V29" s="19"/>
      <c r="W29" s="19"/>
    </row>
    <row r="30" spans="1:23" x14ac:dyDescent="0.35">
      <c r="A30" s="27"/>
      <c r="B30" s="14" t="str" cm="1">
        <f t="array" ref="B30">IF(A30="", "", IF(UPPER(P30)="C", 1, MIN(5, MAX(1, ROUND(((E30/50)*1 + IF(E30&gt;=30, 0.3, 0)) + ((D30/28)*2.2 + IF(D30&gt;=28, 0.4, 0)) - ((C30/1000)*1) + 1.6, 2) - IF(UPPER(P30)="Y", 1.6, 0))) + _xlfn.IFS($B$2, (10000-C30)*0.000001, $C$2, D30*0.000001, $D$2, E30*0.000001)))</f>
        <v/>
      </c>
      <c r="C30" s="28"/>
      <c r="D30" s="15" t="str" cm="1">
        <f t="array" ref="D30">IF(A30="", "", IF(M30="", 0, _xlfn.IFS(M30="Class 2", 20, M30="Class 3", 28, M30="Unlocked", MAX(0, (J30*0.36 - (IF(L30="Trail", 0.0065, 0.005) + 0.11 * _xlfn.IFS(L30="Urban", 0, L30="Suburban", 0.015, L30="City Hills", 0.045, L30="Trail", 0.02)) * (F30+G30)) / 0.018)^(1/3))))</f>
        <v/>
      </c>
      <c r="E30" s="16" t="str">
        <f t="shared" si="0"/>
        <v/>
      </c>
      <c r="F30" s="18"/>
      <c r="G30" s="28" t="str">
        <f t="shared" si="1"/>
        <v/>
      </c>
      <c r="H30" s="18"/>
      <c r="I30" s="18"/>
      <c r="J30" s="18"/>
      <c r="K30" s="28"/>
      <c r="L30" s="18"/>
      <c r="M30" s="28"/>
      <c r="N30" s="17" t="str">
        <f t="shared" si="2"/>
        <v/>
      </c>
      <c r="O30" s="14" t="str" cm="1">
        <f t="array" ref="O30">IF(A30="", "", TEXT(IF(L30="", 0, (((0.018 * D30^2) + (IF(L30="Trail", 0.0065, 0.005) * (F30+G30)) + (0.11 * (F30+G30) * _xlfn.IFS(L30="Urban", 0, L30="Suburban", 0.015, L30="City Hills", 0.045, L30="Trail", 0.02))) / 0.55)), "0.0"))</f>
        <v/>
      </c>
      <c r="P30" s="18"/>
      <c r="Q30" s="29"/>
      <c r="R30" s="19"/>
      <c r="S30" s="19"/>
      <c r="T30" s="19"/>
      <c r="U30" s="19"/>
      <c r="V30" s="19"/>
      <c r="W30" s="19"/>
    </row>
    <row r="31" spans="1:23" x14ac:dyDescent="0.35">
      <c r="A31" s="27"/>
      <c r="B31" s="14" t="str" cm="1">
        <f t="array" ref="B31">IF(A31="", "", IF(UPPER(P31)="C", 1, MIN(5, MAX(1, ROUND(((E31/50)*1 + IF(E31&gt;=30, 0.3, 0)) + ((D31/28)*2.2 + IF(D31&gt;=28, 0.4, 0)) - ((C31/1000)*1) + 1.6, 2) - IF(UPPER(P31)="Y", 1.6, 0))) + _xlfn.IFS($B$2, (10000-C31)*0.000001, $C$2, D31*0.000001, $D$2, E31*0.000001)))</f>
        <v/>
      </c>
      <c r="C31" s="28"/>
      <c r="D31" s="15" t="str" cm="1">
        <f t="array" ref="D31">IF(A31="", "", IF(M31="", 0, _xlfn.IFS(M31="Class 2", 20, M31="Class 3", 28, M31="Unlocked", MAX(0, (J31*0.36 - (IF(L31="Trail", 0.0065, 0.005) + 0.11 * _xlfn.IFS(L31="Urban", 0, L31="Suburban", 0.015, L31="City Hills", 0.045, L31="Trail", 0.02)) * (F31+G31)) / 0.018)^(1/3))))</f>
        <v/>
      </c>
      <c r="E31" s="16" t="str">
        <f t="shared" si="0"/>
        <v/>
      </c>
      <c r="F31" s="18"/>
      <c r="G31" s="28" t="str">
        <f t="shared" si="1"/>
        <v/>
      </c>
      <c r="H31" s="18"/>
      <c r="I31" s="18"/>
      <c r="J31" s="18"/>
      <c r="K31" s="28"/>
      <c r="L31" s="18"/>
      <c r="M31" s="28"/>
      <c r="N31" s="17" t="str">
        <f t="shared" si="2"/>
        <v/>
      </c>
      <c r="O31" s="14" t="str" cm="1">
        <f t="array" ref="O31">IF(A31="", "", TEXT(IF(L31="", 0, (((0.018 * D31^2) + (IF(L31="Trail", 0.0065, 0.005) * (F31+G31)) + (0.11 * (F31+G31) * _xlfn.IFS(L31="Urban", 0, L31="Suburban", 0.015, L31="City Hills", 0.045, L31="Trail", 0.02))) / 0.55)), "0.0"))</f>
        <v/>
      </c>
      <c r="P31" s="18"/>
      <c r="Q31" s="29"/>
      <c r="R31" s="19"/>
      <c r="S31" s="19"/>
      <c r="T31" s="19"/>
      <c r="U31" s="19"/>
      <c r="V31" s="19"/>
      <c r="W31" s="19"/>
    </row>
    <row r="32" spans="1:23" x14ac:dyDescent="0.35">
      <c r="A32" s="27"/>
      <c r="B32" s="14" t="str" cm="1">
        <f t="array" ref="B32">IF(A32="", "", IF(UPPER(P32)="C", 1, MIN(5, MAX(1, ROUND(((E32/50)*1 + IF(E32&gt;=30, 0.3, 0)) + ((D32/28)*2.2 + IF(D32&gt;=28, 0.4, 0)) - ((C32/1000)*1) + 1.6, 2) - IF(UPPER(P32)="Y", 1.6, 0))) + _xlfn.IFS($B$2, (10000-C32)*0.000001, $C$2, D32*0.000001, $D$2, E32*0.000001)))</f>
        <v/>
      </c>
      <c r="C32" s="28"/>
      <c r="D32" s="15" t="str" cm="1">
        <f t="array" ref="D32">IF(A32="", "", IF(M32="", 0, _xlfn.IFS(M32="Class 2", 20, M32="Class 3", 28, M32="Unlocked", MAX(0, (J32*0.36 - (IF(L32="Trail", 0.0065, 0.005) + 0.11 * _xlfn.IFS(L32="Urban", 0, L32="Suburban", 0.015, L32="City Hills", 0.045, L32="Trail", 0.02)) * (F32+G32)) / 0.018)^(1/3))))</f>
        <v/>
      </c>
      <c r="E32" s="16" t="str">
        <f t="shared" si="0"/>
        <v/>
      </c>
      <c r="F32" s="18"/>
      <c r="G32" s="28" t="str">
        <f t="shared" si="1"/>
        <v/>
      </c>
      <c r="H32" s="18"/>
      <c r="I32" s="18"/>
      <c r="J32" s="18"/>
      <c r="K32" s="28"/>
      <c r="L32" s="18"/>
      <c r="M32" s="28"/>
      <c r="N32" s="17" t="str">
        <f t="shared" si="2"/>
        <v/>
      </c>
      <c r="O32" s="14" t="str" cm="1">
        <f t="array" ref="O32">IF(A32="", "", TEXT(IF(L32="", 0, (((0.018 * D32^2) + (IF(L32="Trail", 0.0065, 0.005) * (F32+G32)) + (0.11 * (F32+G32) * _xlfn.IFS(L32="Urban", 0, L32="Suburban", 0.015, L32="City Hills", 0.045, L32="Trail", 0.02))) / 0.55)), "0.0"))</f>
        <v/>
      </c>
      <c r="P32" s="18"/>
      <c r="Q32" s="29"/>
      <c r="R32" s="19"/>
      <c r="S32" s="19"/>
      <c r="T32" s="19"/>
      <c r="U32" s="19"/>
      <c r="V32" s="19"/>
      <c r="W32" s="19"/>
    </row>
    <row r="33" spans="1:23" x14ac:dyDescent="0.35">
      <c r="A33" s="27"/>
      <c r="B33" s="14" t="str" cm="1">
        <f t="array" ref="B33">IF(A33="", "", IF(UPPER(P33)="C", 1, MIN(5, MAX(1, ROUND(((E33/50)*1 + IF(E33&gt;=30, 0.3, 0)) + ((D33/28)*2.2 + IF(D33&gt;=28, 0.4, 0)) - ((C33/1000)*1) + 1.6, 2) - IF(UPPER(P33)="Y", 1.6, 0))) + _xlfn.IFS($B$2, (10000-C33)*0.000001, $C$2, D33*0.000001, $D$2, E33*0.000001)))</f>
        <v/>
      </c>
      <c r="C33" s="28"/>
      <c r="D33" s="15" t="str" cm="1">
        <f t="array" ref="D33">IF(A33="", "", IF(M33="", 0, _xlfn.IFS(M33="Class 2", 20, M33="Class 3", 28, M33="Unlocked", MAX(0, (J33*0.36 - (IF(L33="Trail", 0.0065, 0.005) + 0.11 * _xlfn.IFS(L33="Urban", 0, L33="Suburban", 0.015, L33="City Hills", 0.045, L33="Trail", 0.02)) * (F33+G33)) / 0.018)^(1/3))))</f>
        <v/>
      </c>
      <c r="E33" s="16" t="str">
        <f t="shared" si="0"/>
        <v/>
      </c>
      <c r="F33" s="18"/>
      <c r="G33" s="28" t="str">
        <f t="shared" si="1"/>
        <v/>
      </c>
      <c r="H33" s="18"/>
      <c r="I33" s="18"/>
      <c r="J33" s="18"/>
      <c r="K33" s="28"/>
      <c r="L33" s="18"/>
      <c r="M33" s="28"/>
      <c r="N33" s="17" t="str">
        <f t="shared" si="2"/>
        <v/>
      </c>
      <c r="O33" s="14" t="str" cm="1">
        <f t="array" ref="O33">IF(A33="", "", TEXT(IF(L33="", 0, (((0.018 * D33^2) + (IF(L33="Trail", 0.0065, 0.005) * (F33+G33)) + (0.11 * (F33+G33) * _xlfn.IFS(L33="Urban", 0, L33="Suburban", 0.015, L33="City Hills", 0.045, L33="Trail", 0.02))) / 0.55)), "0.0"))</f>
        <v/>
      </c>
      <c r="P33" s="18"/>
      <c r="Q33" s="29"/>
      <c r="R33" s="19"/>
      <c r="S33" s="19"/>
      <c r="T33" s="19"/>
      <c r="U33" s="19"/>
      <c r="V33" s="19"/>
      <c r="W33" s="19"/>
    </row>
    <row r="34" spans="1:23" x14ac:dyDescent="0.35">
      <c r="A34" s="27"/>
      <c r="B34" s="14" t="str" cm="1">
        <f t="array" ref="B34">IF(A34="", "", IF(UPPER(P34)="C", 1, MIN(5, MAX(1, ROUND(((E34/50)*1 + IF(E34&gt;=30, 0.3, 0)) + ((D34/28)*2.2 + IF(D34&gt;=28, 0.4, 0)) - ((C34/1000)*1) + 1.6, 2) - IF(UPPER(P34)="Y", 1.6, 0))) + _xlfn.IFS($B$2, (10000-C34)*0.000001, $C$2, D34*0.000001, $D$2, E34*0.000001)))</f>
        <v/>
      </c>
      <c r="C34" s="28"/>
      <c r="D34" s="15" t="str" cm="1">
        <f t="array" ref="D34">IF(A34="", "", IF(M34="", 0, _xlfn.IFS(M34="Class 2", 20, M34="Class 3", 28, M34="Unlocked", MAX(0, (J34*0.36 - (IF(L34="Trail", 0.0065, 0.005) + 0.11 * _xlfn.IFS(L34="Urban", 0, L34="Suburban", 0.015, L34="City Hills", 0.045, L34="Trail", 0.02)) * (F34+G34)) / 0.018)^(1/3))))</f>
        <v/>
      </c>
      <c r="E34" s="16" t="str">
        <f t="shared" si="0"/>
        <v/>
      </c>
      <c r="F34" s="18"/>
      <c r="G34" s="28" t="str">
        <f t="shared" si="1"/>
        <v/>
      </c>
      <c r="H34" s="18"/>
      <c r="I34" s="18"/>
      <c r="J34" s="18"/>
      <c r="K34" s="28"/>
      <c r="L34" s="18"/>
      <c r="M34" s="28"/>
      <c r="N34" s="17" t="str">
        <f t="shared" si="2"/>
        <v/>
      </c>
      <c r="O34" s="14" t="str" cm="1">
        <f t="array" ref="O34">IF(A34="", "", TEXT(IF(L34="", 0, (((0.018 * D34^2) + (IF(L34="Trail", 0.0065, 0.005) * (F34+G34)) + (0.11 * (F34+G34) * _xlfn.IFS(L34="Urban", 0, L34="Suburban", 0.015, L34="City Hills", 0.045, L34="Trail", 0.02))) / 0.55)), "0.0"))</f>
        <v/>
      </c>
      <c r="P34" s="18"/>
      <c r="Q34" s="29"/>
      <c r="R34" s="19"/>
      <c r="S34" s="19"/>
      <c r="T34" s="19"/>
      <c r="U34" s="19"/>
      <c r="V34" s="19"/>
      <c r="W34" s="19"/>
    </row>
    <row r="35" spans="1:23" x14ac:dyDescent="0.35">
      <c r="A35" s="27"/>
      <c r="B35" s="14" t="str" cm="1">
        <f t="array" ref="B35">IF(A35="", "", IF(UPPER(P35)="C", 1, MIN(5, MAX(1, ROUND(((E35/50)*1 + IF(E35&gt;=30, 0.3, 0)) + ((D35/28)*2.2 + IF(D35&gt;=28, 0.4, 0)) - ((C35/1000)*1) + 1.6, 2) - IF(UPPER(P35)="Y", 1.6, 0))) + _xlfn.IFS($B$2, (10000-C35)*0.000001, $C$2, D35*0.000001, $D$2, E35*0.000001)))</f>
        <v/>
      </c>
      <c r="C35" s="28"/>
      <c r="D35" s="15" t="str" cm="1">
        <f t="array" ref="D35">IF(A35="", "", IF(M35="", 0, _xlfn.IFS(M35="Class 2", 20, M35="Class 3", 28, M35="Unlocked", MAX(0, (J35*0.36 - (IF(L35="Trail", 0.0065, 0.005) + 0.11 * _xlfn.IFS(L35="Urban", 0, L35="Suburban", 0.015, L35="City Hills", 0.045, L35="Trail", 0.02)) * (F35+G35)) / 0.018)^(1/3))))</f>
        <v/>
      </c>
      <c r="E35" s="16" t="str">
        <f t="shared" si="0"/>
        <v/>
      </c>
      <c r="F35" s="18"/>
      <c r="G35" s="28" t="str">
        <f t="shared" si="1"/>
        <v/>
      </c>
      <c r="H35" s="18"/>
      <c r="I35" s="18"/>
      <c r="J35" s="18"/>
      <c r="K35" s="28"/>
      <c r="L35" s="18"/>
      <c r="M35" s="28"/>
      <c r="N35" s="17" t="str">
        <f t="shared" si="2"/>
        <v/>
      </c>
      <c r="O35" s="14" t="str" cm="1">
        <f t="array" ref="O35">IF(A35="", "", TEXT(IF(L35="", 0, (((0.018 * D35^2) + (IF(L35="Trail", 0.0065, 0.005) * (F35+G35)) + (0.11 * (F35+G35) * _xlfn.IFS(L35="Urban", 0, L35="Suburban", 0.015, L35="City Hills", 0.045, L35="Trail", 0.02))) / 0.55)), "0.0"))</f>
        <v/>
      </c>
      <c r="P35" s="18"/>
      <c r="Q35" s="29"/>
      <c r="R35" s="19"/>
      <c r="S35" s="19"/>
      <c r="T35" s="19"/>
      <c r="U35" s="19"/>
      <c r="V35" s="19"/>
      <c r="W35" s="19"/>
    </row>
    <row r="36" spans="1:23" x14ac:dyDescent="0.35">
      <c r="A36" s="27"/>
      <c r="B36" s="14" t="str" cm="1">
        <f t="array" ref="B36">IF(A36="", "", IF(UPPER(P36)="C", 1, MIN(5, MAX(1, ROUND(((E36/50)*1 + IF(E36&gt;=30, 0.3, 0)) + ((D36/28)*2.2 + IF(D36&gt;=28, 0.4, 0)) - ((C36/1000)*1) + 1.6, 2) - IF(UPPER(P36)="Y", 1.6, 0))) + _xlfn.IFS($B$2, (10000-C36)*0.000001, $C$2, D36*0.000001, $D$2, E36*0.000001)))</f>
        <v/>
      </c>
      <c r="C36" s="28"/>
      <c r="D36" s="15" t="str" cm="1">
        <f t="array" ref="D36">IF(A36="", "", IF(M36="", 0, _xlfn.IFS(M36="Class 2", 20, M36="Class 3", 28, M36="Unlocked", MAX(0, (J36*0.36 - (IF(L36="Trail", 0.0065, 0.005) + 0.11 * _xlfn.IFS(L36="Urban", 0, L36="Suburban", 0.015, L36="City Hills", 0.045, L36="Trail", 0.02)) * (F36+G36)) / 0.018)^(1/3))))</f>
        <v/>
      </c>
      <c r="E36" s="16" t="str">
        <f t="shared" si="0"/>
        <v/>
      </c>
      <c r="F36" s="18"/>
      <c r="G36" s="28" t="str">
        <f t="shared" si="1"/>
        <v/>
      </c>
      <c r="H36" s="18"/>
      <c r="I36" s="18"/>
      <c r="J36" s="18"/>
      <c r="K36" s="28"/>
      <c r="L36" s="18"/>
      <c r="M36" s="28"/>
      <c r="N36" s="17" t="str">
        <f t="shared" si="2"/>
        <v/>
      </c>
      <c r="O36" s="14" t="str" cm="1">
        <f t="array" ref="O36">IF(A36="", "", TEXT(IF(L36="", 0, (((0.018 * D36^2) + (IF(L36="Trail", 0.0065, 0.005) * (F36+G36)) + (0.11 * (F36+G36) * _xlfn.IFS(L36="Urban", 0, L36="Suburban", 0.015, L36="City Hills", 0.045, L36="Trail", 0.02))) / 0.55)), "0.0"))</f>
        <v/>
      </c>
      <c r="P36" s="18"/>
      <c r="Q36" s="29"/>
      <c r="R36" s="19"/>
      <c r="S36" s="19"/>
      <c r="T36" s="19"/>
      <c r="U36" s="19"/>
      <c r="V36" s="19"/>
      <c r="W36" s="19"/>
    </row>
    <row r="37" spans="1:23" x14ac:dyDescent="0.35">
      <c r="A37" s="27"/>
      <c r="B37" s="14" t="str" cm="1">
        <f t="array" ref="B37">IF(A37="", "", IF(UPPER(P37)="C", 1, MIN(5, MAX(1, ROUND(((E37/50)*1 + IF(E37&gt;=30, 0.3, 0)) + ((D37/28)*2.2 + IF(D37&gt;=28, 0.4, 0)) - ((C37/1000)*1) + 1.6, 2) - IF(UPPER(P37)="Y", 1.6, 0))) + _xlfn.IFS($B$2, (10000-C37)*0.000001, $C$2, D37*0.000001, $D$2, E37*0.000001)))</f>
        <v/>
      </c>
      <c r="C37" s="28"/>
      <c r="D37" s="15" t="str" cm="1">
        <f t="array" ref="D37">IF(A37="", "", IF(M37="", 0, _xlfn.IFS(M37="Class 2", 20, M37="Class 3", 28, M37="Unlocked", MAX(0, (J37*0.36 - (IF(L37="Trail", 0.0065, 0.005) + 0.11 * _xlfn.IFS(L37="Urban", 0, L37="Suburban", 0.015, L37="City Hills", 0.045, L37="Trail", 0.02)) * (F37+G37)) / 0.018)^(1/3))))</f>
        <v/>
      </c>
      <c r="E37" s="16" t="str">
        <f t="shared" ref="E37:E68" si="4">IF(A37="", "", TEXT(N37 / O37, "0.0"))</f>
        <v/>
      </c>
      <c r="F37" s="18"/>
      <c r="G37" s="28" t="str">
        <f t="shared" ref="G37:G68" si="5">IF(A37="", "", $H$1)</f>
        <v/>
      </c>
      <c r="H37" s="18"/>
      <c r="I37" s="18"/>
      <c r="J37" s="18"/>
      <c r="K37" s="28"/>
      <c r="L37" s="18"/>
      <c r="M37" s="28"/>
      <c r="N37" s="17" t="str">
        <f t="shared" ref="N37:N68" si="6">IF(A37="", "", ROUND(H37 * I37, 0))</f>
        <v/>
      </c>
      <c r="O37" s="14" t="str" cm="1">
        <f t="array" ref="O37">IF(A37="", "", TEXT(IF(L37="", 0, (((0.018 * D37^2) + (IF(L37="Trail", 0.0065, 0.005) * (F37+G37)) + (0.11 * (F37+G37) * _xlfn.IFS(L37="Urban", 0, L37="Suburban", 0.015, L37="City Hills", 0.045, L37="Trail", 0.02))) / 0.55)), "0.0"))</f>
        <v/>
      </c>
      <c r="P37" s="18"/>
      <c r="Q37" s="29"/>
      <c r="R37" s="19"/>
      <c r="S37" s="19"/>
      <c r="T37" s="19"/>
      <c r="U37" s="19"/>
      <c r="V37" s="19"/>
      <c r="W37" s="19"/>
    </row>
    <row r="38" spans="1:23" x14ac:dyDescent="0.35">
      <c r="A38" s="27"/>
      <c r="B38" s="14" t="str" cm="1">
        <f t="array" ref="B38">IF(A38="", "", IF(UPPER(P38)="C", 1, MIN(5, MAX(1, ROUND(((E38/50)*1 + IF(E38&gt;=30, 0.3, 0)) + ((D38/28)*2.2 + IF(D38&gt;=28, 0.4, 0)) - ((C38/1000)*1) + 1.6, 2) - IF(UPPER(P38)="Y", 1.6, 0))) + _xlfn.IFS($B$2, (10000-C38)*0.000001, $C$2, D38*0.000001, $D$2, E38*0.000001)))</f>
        <v/>
      </c>
      <c r="C38" s="28"/>
      <c r="D38" s="15" t="str" cm="1">
        <f t="array" ref="D38">IF(A38="", "", IF(M38="", 0, _xlfn.IFS(M38="Class 2", 20, M38="Class 3", 28, M38="Unlocked", MAX(0, (J38*0.36 - (IF(L38="Trail", 0.0065, 0.005) + 0.11 * _xlfn.IFS(L38="Urban", 0, L38="Suburban", 0.015, L38="City Hills", 0.045, L38="Trail", 0.02)) * (F38+G38)) / 0.018)^(1/3))))</f>
        <v/>
      </c>
      <c r="E38" s="16" t="str">
        <f t="shared" si="4"/>
        <v/>
      </c>
      <c r="F38" s="18"/>
      <c r="G38" s="28" t="str">
        <f t="shared" si="5"/>
        <v/>
      </c>
      <c r="H38" s="18"/>
      <c r="I38" s="18"/>
      <c r="J38" s="18"/>
      <c r="K38" s="28"/>
      <c r="L38" s="18"/>
      <c r="M38" s="28"/>
      <c r="N38" s="17" t="str">
        <f t="shared" si="6"/>
        <v/>
      </c>
      <c r="O38" s="14" t="str" cm="1">
        <f t="array" ref="O38">IF(A38="", "", TEXT(IF(L38="", 0, (((0.018 * D38^2) + (IF(L38="Trail", 0.0065, 0.005) * (F38+G38)) + (0.11 * (F38+G38) * _xlfn.IFS(L38="Urban", 0, L38="Suburban", 0.015, L38="City Hills", 0.045, L38="Trail", 0.02))) / 0.55)), "0.0"))</f>
        <v/>
      </c>
      <c r="P38" s="18"/>
      <c r="Q38" s="29"/>
      <c r="R38" s="19"/>
      <c r="S38" s="19"/>
      <c r="T38" s="19"/>
      <c r="U38" s="19"/>
      <c r="V38" s="19"/>
      <c r="W38" s="19"/>
    </row>
    <row r="39" spans="1:23" x14ac:dyDescent="0.35">
      <c r="A39" s="27"/>
      <c r="B39" s="14" t="str" cm="1">
        <f t="array" ref="B39">IF(A39="", "", IF(UPPER(P39)="C", 1, MIN(5, MAX(1, ROUND(((E39/50)*1 + IF(E39&gt;=30, 0.3, 0)) + ((D39/28)*2.2 + IF(D39&gt;=28, 0.4, 0)) - ((C39/1000)*1) + 1.6, 2) - IF(UPPER(P39)="Y", 1.6, 0))) + _xlfn.IFS($B$2, (10000-C39)*0.000001, $C$2, D39*0.000001, $D$2, E39*0.000001)))</f>
        <v/>
      </c>
      <c r="C39" s="28"/>
      <c r="D39" s="15" t="str" cm="1">
        <f t="array" ref="D39">IF(A39="", "", IF(M39="", 0, _xlfn.IFS(M39="Class 2", 20, M39="Class 3", 28, M39="Unlocked", MAX(0, (J39*0.36 - (IF(L39="Trail", 0.0065, 0.005) + 0.11 * _xlfn.IFS(L39="Urban", 0, L39="Suburban", 0.015, L39="City Hills", 0.045, L39="Trail", 0.02)) * (F39+G39)) / 0.018)^(1/3))))</f>
        <v/>
      </c>
      <c r="E39" s="16" t="str">
        <f t="shared" si="4"/>
        <v/>
      </c>
      <c r="F39" s="18"/>
      <c r="G39" s="28" t="str">
        <f t="shared" si="5"/>
        <v/>
      </c>
      <c r="H39" s="18"/>
      <c r="I39" s="18"/>
      <c r="J39" s="18"/>
      <c r="K39" s="28"/>
      <c r="L39" s="18"/>
      <c r="M39" s="28"/>
      <c r="N39" s="17" t="str">
        <f t="shared" si="6"/>
        <v/>
      </c>
      <c r="O39" s="14" t="str" cm="1">
        <f t="array" ref="O39">IF(A39="", "", TEXT(IF(L39="", 0, (((0.018 * D39^2) + (IF(L39="Trail", 0.0065, 0.005) * (F39+G39)) + (0.11 * (F39+G39) * _xlfn.IFS(L39="Urban", 0, L39="Suburban", 0.015, L39="City Hills", 0.045, L39="Trail", 0.02))) / 0.55)), "0.0"))</f>
        <v/>
      </c>
      <c r="P39" s="18"/>
      <c r="Q39" s="29"/>
      <c r="R39" s="19"/>
      <c r="S39" s="19"/>
      <c r="T39" s="19"/>
      <c r="U39" s="19"/>
      <c r="V39" s="19"/>
      <c r="W39" s="19"/>
    </row>
    <row r="40" spans="1:23" x14ac:dyDescent="0.35">
      <c r="A40" s="27"/>
      <c r="B40" s="14" t="str" cm="1">
        <f t="array" ref="B40">IF(A40="", "", IF(UPPER(P40)="C", 1, MIN(5, MAX(1, ROUND(((E40/50)*1 + IF(E40&gt;=30, 0.3, 0)) + ((D40/28)*2.2 + IF(D40&gt;=28, 0.4, 0)) - ((C40/1000)*1) + 1.6, 2) - IF(UPPER(P40)="Y", 1.6, 0))) + _xlfn.IFS($B$2, (10000-C40)*0.000001, $C$2, D40*0.000001, $D$2, E40*0.000001)))</f>
        <v/>
      </c>
      <c r="C40" s="28"/>
      <c r="D40" s="15" t="str" cm="1">
        <f t="array" ref="D40">IF(A40="", "", IF(M40="", 0, _xlfn.IFS(M40="Class 2", 20, M40="Class 3", 28, M40="Unlocked", MAX(0, (J40*0.36 - (IF(L40="Trail", 0.0065, 0.005) + 0.11 * _xlfn.IFS(L40="Urban", 0, L40="Suburban", 0.015, L40="City Hills", 0.045, L40="Trail", 0.02)) * (F40+G40)) / 0.018)^(1/3))))</f>
        <v/>
      </c>
      <c r="E40" s="16" t="str">
        <f t="shared" si="4"/>
        <v/>
      </c>
      <c r="F40" s="18"/>
      <c r="G40" s="28" t="str">
        <f t="shared" si="5"/>
        <v/>
      </c>
      <c r="H40" s="18"/>
      <c r="I40" s="18"/>
      <c r="J40" s="18"/>
      <c r="K40" s="28"/>
      <c r="L40" s="18"/>
      <c r="M40" s="28"/>
      <c r="N40" s="17" t="str">
        <f t="shared" si="6"/>
        <v/>
      </c>
      <c r="O40" s="14" t="str" cm="1">
        <f t="array" ref="O40">IF(A40="", "", TEXT(IF(L40="", 0, (((0.018 * D40^2) + (IF(L40="Trail", 0.0065, 0.005) * (F40+G40)) + (0.11 * (F40+G40) * _xlfn.IFS(L40="Urban", 0, L40="Suburban", 0.015, L40="City Hills", 0.045, L40="Trail", 0.02))) / 0.55)), "0.0"))</f>
        <v/>
      </c>
      <c r="P40" s="18"/>
      <c r="Q40" s="29"/>
      <c r="R40" s="19"/>
      <c r="S40" s="19"/>
      <c r="T40" s="19"/>
      <c r="U40" s="19"/>
      <c r="V40" s="19"/>
      <c r="W40" s="19"/>
    </row>
    <row r="41" spans="1:23" x14ac:dyDescent="0.35">
      <c r="A41" s="27"/>
      <c r="B41" s="14" t="str" cm="1">
        <f t="array" ref="B41">IF(A41="", "", IF(UPPER(P41)="C", 1, MIN(5, MAX(1, ROUND(((E41/50)*1 + IF(E41&gt;=30, 0.3, 0)) + ((D41/28)*2.2 + IF(D41&gt;=28, 0.4, 0)) - ((C41/1000)*1) + 1.6, 2) - IF(UPPER(P41)="Y", 1.6, 0))) + _xlfn.IFS($B$2, (10000-C41)*0.000001, $C$2, D41*0.000001, $D$2, E41*0.000001)))</f>
        <v/>
      </c>
      <c r="C41" s="28"/>
      <c r="D41" s="15" t="str" cm="1">
        <f t="array" ref="D41">IF(A41="", "", IF(M41="", 0, _xlfn.IFS(M41="Class 2", 20, M41="Class 3", 28, M41="Unlocked", MAX(0, (J41*0.36 - (IF(L41="Trail", 0.0065, 0.005) + 0.11 * _xlfn.IFS(L41="Urban", 0, L41="Suburban", 0.015, L41="City Hills", 0.045, L41="Trail", 0.02)) * (F41+G41)) / 0.018)^(1/3))))</f>
        <v/>
      </c>
      <c r="E41" s="16" t="str">
        <f t="shared" si="4"/>
        <v/>
      </c>
      <c r="F41" s="18"/>
      <c r="G41" s="28" t="str">
        <f t="shared" si="5"/>
        <v/>
      </c>
      <c r="H41" s="18"/>
      <c r="I41" s="18"/>
      <c r="J41" s="18"/>
      <c r="K41" s="28"/>
      <c r="L41" s="18"/>
      <c r="M41" s="28"/>
      <c r="N41" s="17" t="str">
        <f t="shared" si="6"/>
        <v/>
      </c>
      <c r="O41" s="14" t="str" cm="1">
        <f t="array" ref="O41">IF(A41="", "", TEXT(IF(L41="", 0, (((0.018 * D41^2) + (IF(L41="Trail", 0.0065, 0.005) * (F41+G41)) + (0.11 * (F41+G41) * _xlfn.IFS(L41="Urban", 0, L41="Suburban", 0.015, L41="City Hills", 0.045, L41="Trail", 0.02))) / 0.55)), "0.0"))</f>
        <v/>
      </c>
      <c r="P41" s="18"/>
      <c r="Q41" s="29"/>
      <c r="R41" s="19"/>
      <c r="S41" s="19"/>
      <c r="T41" s="19"/>
      <c r="U41" s="19"/>
      <c r="V41" s="19"/>
      <c r="W41" s="19"/>
    </row>
    <row r="42" spans="1:23" x14ac:dyDescent="0.35">
      <c r="A42" s="27"/>
      <c r="B42" s="14" t="str" cm="1">
        <f t="array" ref="B42">IF(A42="", "", IF(UPPER(P42)="C", 1, MIN(5, MAX(1, ROUND(((E42/50)*1 + IF(E42&gt;=30, 0.3, 0)) + ((D42/28)*2.2 + IF(D42&gt;=28, 0.4, 0)) - ((C42/1000)*1) + 1.6, 2) - IF(UPPER(P42)="Y", 1.6, 0))) + _xlfn.IFS($B$2, (10000-C42)*0.000001, $C$2, D42*0.000001, $D$2, E42*0.000001)))</f>
        <v/>
      </c>
      <c r="C42" s="28"/>
      <c r="D42" s="15" t="str" cm="1">
        <f t="array" ref="D42">IF(A42="", "", IF(M42="", 0, _xlfn.IFS(M42="Class 2", 20, M42="Class 3", 28, M42="Unlocked", MAX(0, (J42*0.36 - (IF(L42="Trail", 0.0065, 0.005) + 0.11 * _xlfn.IFS(L42="Urban", 0, L42="Suburban", 0.015, L42="City Hills", 0.045, L42="Trail", 0.02)) * (F42+G42)) / 0.018)^(1/3))))</f>
        <v/>
      </c>
      <c r="E42" s="16" t="str">
        <f t="shared" si="4"/>
        <v/>
      </c>
      <c r="F42" s="18"/>
      <c r="G42" s="28" t="str">
        <f t="shared" si="5"/>
        <v/>
      </c>
      <c r="H42" s="18"/>
      <c r="I42" s="18"/>
      <c r="J42" s="18"/>
      <c r="K42" s="28"/>
      <c r="L42" s="18"/>
      <c r="M42" s="28"/>
      <c r="N42" s="17" t="str">
        <f t="shared" si="6"/>
        <v/>
      </c>
      <c r="O42" s="14" t="str" cm="1">
        <f t="array" ref="O42">IF(A42="", "", TEXT(IF(L42="", 0, (((0.018 * D42^2) + (IF(L42="Trail", 0.0065, 0.005) * (F42+G42)) + (0.11 * (F42+G42) * _xlfn.IFS(L42="Urban", 0, L42="Suburban", 0.015, L42="City Hills", 0.045, L42="Trail", 0.02))) / 0.55)), "0.0"))</f>
        <v/>
      </c>
      <c r="P42" s="18"/>
      <c r="Q42" s="29"/>
      <c r="R42" s="19"/>
      <c r="S42" s="19"/>
      <c r="T42" s="19"/>
      <c r="U42" s="19"/>
      <c r="V42" s="19"/>
      <c r="W42" s="19"/>
    </row>
    <row r="43" spans="1:23" x14ac:dyDescent="0.35">
      <c r="A43" s="27"/>
      <c r="B43" s="14" t="str" cm="1">
        <f t="array" ref="B43">IF(A43="", "", IF(UPPER(P43)="C", 1, MIN(5, MAX(1, ROUND(((E43/50)*1 + IF(E43&gt;=30, 0.3, 0)) + ((D43/28)*2.2 + IF(D43&gt;=28, 0.4, 0)) - ((C43/1000)*1) + 1.6, 2) - IF(UPPER(P43)="Y", 1.6, 0))) + _xlfn.IFS($B$2, (10000-C43)*0.000001, $C$2, D43*0.000001, $D$2, E43*0.000001)))</f>
        <v/>
      </c>
      <c r="C43" s="28"/>
      <c r="D43" s="15" t="str" cm="1">
        <f t="array" ref="D43">IF(A43="", "", IF(M43="", 0, _xlfn.IFS(M43="Class 2", 20, M43="Class 3", 28, M43="Unlocked", MAX(0, (J43*0.36 - (IF(L43="Trail", 0.0065, 0.005) + 0.11 * _xlfn.IFS(L43="Urban", 0, L43="Suburban", 0.015, L43="City Hills", 0.045, L43="Trail", 0.02)) * (F43+G43)) / 0.018)^(1/3))))</f>
        <v/>
      </c>
      <c r="E43" s="16" t="str">
        <f t="shared" si="4"/>
        <v/>
      </c>
      <c r="F43" s="18"/>
      <c r="G43" s="28" t="str">
        <f t="shared" si="5"/>
        <v/>
      </c>
      <c r="H43" s="18"/>
      <c r="I43" s="18"/>
      <c r="J43" s="18"/>
      <c r="K43" s="28"/>
      <c r="L43" s="18"/>
      <c r="M43" s="28"/>
      <c r="N43" s="17" t="str">
        <f t="shared" si="6"/>
        <v/>
      </c>
      <c r="O43" s="14" t="str" cm="1">
        <f t="array" ref="O43">IF(A43="", "", TEXT(IF(L43="", 0, (((0.018 * D43^2) + (IF(L43="Trail", 0.0065, 0.005) * (F43+G43)) + (0.11 * (F43+G43) * _xlfn.IFS(L43="Urban", 0, L43="Suburban", 0.015, L43="City Hills", 0.045, L43="Trail", 0.02))) / 0.55)), "0.0"))</f>
        <v/>
      </c>
      <c r="P43" s="18"/>
      <c r="Q43" s="29"/>
      <c r="R43" s="19"/>
      <c r="S43" s="19"/>
      <c r="T43" s="19"/>
      <c r="U43" s="19"/>
      <c r="V43" s="19"/>
      <c r="W43" s="19"/>
    </row>
    <row r="44" spans="1:23" x14ac:dyDescent="0.35">
      <c r="A44" s="27"/>
      <c r="B44" s="14" t="str" cm="1">
        <f t="array" ref="B44">IF(A44="", "", IF(UPPER(P44)="C", 1, MIN(5, MAX(1, ROUND(((E44/50)*1 + IF(E44&gt;=30, 0.3, 0)) + ((D44/28)*2.2 + IF(D44&gt;=28, 0.4, 0)) - ((C44/1000)*1) + 1.6, 2) - IF(UPPER(P44)="Y", 1.6, 0))) + _xlfn.IFS($B$2, (10000-C44)*0.000001, $C$2, D44*0.000001, $D$2, E44*0.000001)))</f>
        <v/>
      </c>
      <c r="C44" s="28"/>
      <c r="D44" s="15" t="str" cm="1">
        <f t="array" ref="D44">IF(A44="", "", IF(M44="", 0, _xlfn.IFS(M44="Class 2", 20, M44="Class 3", 28, M44="Unlocked", MAX(0, (J44*0.36 - (IF(L44="Trail", 0.0065, 0.005) + 0.11 * _xlfn.IFS(L44="Urban", 0, L44="Suburban", 0.015, L44="City Hills", 0.045, L44="Trail", 0.02)) * (F44+G44)) / 0.018)^(1/3))))</f>
        <v/>
      </c>
      <c r="E44" s="16" t="str">
        <f t="shared" si="4"/>
        <v/>
      </c>
      <c r="F44" s="18"/>
      <c r="G44" s="28" t="str">
        <f t="shared" si="5"/>
        <v/>
      </c>
      <c r="H44" s="18"/>
      <c r="I44" s="18"/>
      <c r="J44" s="18"/>
      <c r="K44" s="28"/>
      <c r="L44" s="18"/>
      <c r="M44" s="28"/>
      <c r="N44" s="17" t="str">
        <f t="shared" si="6"/>
        <v/>
      </c>
      <c r="O44" s="14" t="str" cm="1">
        <f t="array" ref="O44">IF(A44="", "", TEXT(IF(L44="", 0, (((0.018 * D44^2) + (IF(L44="Trail", 0.0065, 0.005) * (F44+G44)) + (0.11 * (F44+G44) * _xlfn.IFS(L44="Urban", 0, L44="Suburban", 0.015, L44="City Hills", 0.045, L44="Trail", 0.02))) / 0.55)), "0.0"))</f>
        <v/>
      </c>
      <c r="P44" s="18"/>
      <c r="Q44" s="29"/>
      <c r="R44" s="19"/>
      <c r="S44" s="19"/>
      <c r="T44" s="19"/>
      <c r="U44" s="19"/>
      <c r="V44" s="19"/>
      <c r="W44" s="19"/>
    </row>
    <row r="45" spans="1:23" x14ac:dyDescent="0.35">
      <c r="A45" s="27"/>
      <c r="B45" s="14" t="str" cm="1">
        <f t="array" ref="B45">IF(A45="", "", IF(UPPER(P45)="C", 1, MIN(5, MAX(1, ROUND(((E45/50)*1 + IF(E45&gt;=30, 0.3, 0)) + ((D45/28)*2.2 + IF(D45&gt;=28, 0.4, 0)) - ((C45/1000)*1) + 1.6, 2) - IF(UPPER(P45)="Y", 1.6, 0))) + _xlfn.IFS($B$2, (10000-C45)*0.000001, $C$2, D45*0.000001, $D$2, E45*0.000001)))</f>
        <v/>
      </c>
      <c r="C45" s="28"/>
      <c r="D45" s="15" t="str" cm="1">
        <f t="array" ref="D45">IF(A45="", "", IF(M45="", 0, _xlfn.IFS(M45="Class 2", 20, M45="Class 3", 28, M45="Unlocked", MAX(0, (J45*0.36 - (IF(L45="Trail", 0.0065, 0.005) + 0.11 * _xlfn.IFS(L45="Urban", 0, L45="Suburban", 0.015, L45="City Hills", 0.045, L45="Trail", 0.02)) * (F45+G45)) / 0.018)^(1/3))))</f>
        <v/>
      </c>
      <c r="E45" s="16" t="str">
        <f t="shared" si="4"/>
        <v/>
      </c>
      <c r="F45" s="18"/>
      <c r="G45" s="28" t="str">
        <f t="shared" si="5"/>
        <v/>
      </c>
      <c r="H45" s="18"/>
      <c r="I45" s="18"/>
      <c r="J45" s="18"/>
      <c r="K45" s="28"/>
      <c r="L45" s="18"/>
      <c r="M45" s="28"/>
      <c r="N45" s="17" t="str">
        <f t="shared" si="6"/>
        <v/>
      </c>
      <c r="O45" s="14" t="str" cm="1">
        <f t="array" ref="O45">IF(A45="", "", TEXT(IF(L45="", 0, (((0.018 * D45^2) + (IF(L45="Trail", 0.0065, 0.005) * (F45+G45)) + (0.11 * (F45+G45) * _xlfn.IFS(L45="Urban", 0, L45="Suburban", 0.015, L45="City Hills", 0.045, L45="Trail", 0.02))) / 0.55)), "0.0"))</f>
        <v/>
      </c>
      <c r="P45" s="18"/>
      <c r="Q45" s="29"/>
      <c r="R45" s="19"/>
      <c r="S45" s="19"/>
      <c r="T45" s="19"/>
      <c r="U45" s="19"/>
      <c r="V45" s="19"/>
      <c r="W45" s="19"/>
    </row>
    <row r="46" spans="1:23" x14ac:dyDescent="0.35">
      <c r="A46" s="27"/>
      <c r="B46" s="14" t="str" cm="1">
        <f t="array" ref="B46">IF(A46="", "", IF(UPPER(P46)="C", 1, MIN(5, MAX(1, ROUND(((E46/50)*1 + IF(E46&gt;=30, 0.3, 0)) + ((D46/28)*2.2 + IF(D46&gt;=28, 0.4, 0)) - ((C46/1000)*1) + 1.6, 2) - IF(UPPER(P46)="Y", 1.6, 0))) + _xlfn.IFS($B$2, (10000-C46)*0.000001, $C$2, D46*0.000001, $D$2, E46*0.000001)))</f>
        <v/>
      </c>
      <c r="C46" s="28"/>
      <c r="D46" s="15" t="str" cm="1">
        <f t="array" ref="D46">IF(A46="", "", IF(M46="", 0, _xlfn.IFS(M46="Class 2", 20, M46="Class 3", 28, M46="Unlocked", MAX(0, (J46*0.36 - (IF(L46="Trail", 0.0065, 0.005) + 0.11 * _xlfn.IFS(L46="Urban", 0, L46="Suburban", 0.015, L46="City Hills", 0.045, L46="Trail", 0.02)) * (F46+G46)) / 0.018)^(1/3))))</f>
        <v/>
      </c>
      <c r="E46" s="16" t="str">
        <f t="shared" si="4"/>
        <v/>
      </c>
      <c r="F46" s="18"/>
      <c r="G46" s="28" t="str">
        <f t="shared" si="5"/>
        <v/>
      </c>
      <c r="H46" s="18"/>
      <c r="I46" s="18"/>
      <c r="J46" s="18"/>
      <c r="K46" s="28"/>
      <c r="L46" s="18"/>
      <c r="M46" s="28"/>
      <c r="N46" s="17" t="str">
        <f t="shared" si="6"/>
        <v/>
      </c>
      <c r="O46" s="14" t="str" cm="1">
        <f t="array" ref="O46">IF(A46="", "", TEXT(IF(L46="", 0, (((0.018 * D46^2) + (IF(L46="Trail", 0.0065, 0.005) * (F46+G46)) + (0.11 * (F46+G46) * _xlfn.IFS(L46="Urban", 0, L46="Suburban", 0.015, L46="City Hills", 0.045, L46="Trail", 0.02))) / 0.55)), "0.0"))</f>
        <v/>
      </c>
      <c r="P46" s="18"/>
      <c r="Q46" s="29"/>
      <c r="R46" s="19"/>
      <c r="S46" s="19"/>
      <c r="T46" s="19"/>
      <c r="U46" s="19"/>
      <c r="V46" s="19"/>
      <c r="W46" s="19"/>
    </row>
    <row r="47" spans="1:23" x14ac:dyDescent="0.35">
      <c r="A47" s="27"/>
      <c r="B47" s="14" t="str" cm="1">
        <f t="array" ref="B47">IF(A47="", "", IF(UPPER(P47)="C", 1, MIN(5, MAX(1, ROUND(((E47/50)*1 + IF(E47&gt;=30, 0.3, 0)) + ((D47/28)*2.2 + IF(D47&gt;=28, 0.4, 0)) - ((C47/1000)*1) + 1.6, 2) - IF(UPPER(P47)="Y", 1.6, 0))) + _xlfn.IFS($B$2, (10000-C47)*0.000001, $C$2, D47*0.000001, $D$2, E47*0.000001)))</f>
        <v/>
      </c>
      <c r="C47" s="28"/>
      <c r="D47" s="15" t="str" cm="1">
        <f t="array" ref="D47">IF(A47="", "", IF(M47="", 0, _xlfn.IFS(M47="Class 2", 20, M47="Class 3", 28, M47="Unlocked", MAX(0, (J47*0.36 - (IF(L47="Trail", 0.0065, 0.005) + 0.11 * _xlfn.IFS(L47="Urban", 0, L47="Suburban", 0.015, L47="City Hills", 0.045, L47="Trail", 0.02)) * (F47+G47)) / 0.018)^(1/3))))</f>
        <v/>
      </c>
      <c r="E47" s="16" t="str">
        <f t="shared" si="4"/>
        <v/>
      </c>
      <c r="F47" s="18"/>
      <c r="G47" s="28" t="str">
        <f t="shared" si="5"/>
        <v/>
      </c>
      <c r="H47" s="18"/>
      <c r="I47" s="18"/>
      <c r="J47" s="18"/>
      <c r="K47" s="28"/>
      <c r="L47" s="18"/>
      <c r="M47" s="28"/>
      <c r="N47" s="17" t="str">
        <f t="shared" si="6"/>
        <v/>
      </c>
      <c r="O47" s="14" t="str" cm="1">
        <f t="array" ref="O47">IF(A47="", "", TEXT(IF(L47="", 0, (((0.018 * D47^2) + (IF(L47="Trail", 0.0065, 0.005) * (F47+G47)) + (0.11 * (F47+G47) * _xlfn.IFS(L47="Urban", 0, L47="Suburban", 0.015, L47="City Hills", 0.045, L47="Trail", 0.02))) / 0.55)), "0.0"))</f>
        <v/>
      </c>
      <c r="P47" s="18"/>
      <c r="Q47" s="29"/>
      <c r="R47" s="19"/>
      <c r="S47" s="19"/>
      <c r="T47" s="19"/>
      <c r="U47" s="19"/>
      <c r="V47" s="19"/>
      <c r="W47" s="19"/>
    </row>
    <row r="48" spans="1:23" x14ac:dyDescent="0.35">
      <c r="A48" s="27"/>
      <c r="B48" s="14" t="str" cm="1">
        <f t="array" ref="B48">IF(A48="", "", IF(UPPER(P48)="C", 1, MIN(5, MAX(1, ROUND(((E48/50)*1 + IF(E48&gt;=30, 0.3, 0)) + ((D48/28)*2.2 + IF(D48&gt;=28, 0.4, 0)) - ((C48/1000)*1) + 1.6, 2) - IF(UPPER(P48)="Y", 1.6, 0))) + _xlfn.IFS($B$2, (10000-C48)*0.000001, $C$2, D48*0.000001, $D$2, E48*0.000001)))</f>
        <v/>
      </c>
      <c r="C48" s="28"/>
      <c r="D48" s="15" t="str" cm="1">
        <f t="array" ref="D48">IF(A48="", "", IF(M48="", 0, _xlfn.IFS(M48="Class 2", 20, M48="Class 3", 28, M48="Unlocked", MAX(0, (J48*0.36 - (IF(L48="Trail", 0.0065, 0.005) + 0.11 * _xlfn.IFS(L48="Urban", 0, L48="Suburban", 0.015, L48="City Hills", 0.045, L48="Trail", 0.02)) * (F48+G48)) / 0.018)^(1/3))))</f>
        <v/>
      </c>
      <c r="E48" s="16" t="str">
        <f t="shared" si="4"/>
        <v/>
      </c>
      <c r="F48" s="18"/>
      <c r="G48" s="28" t="str">
        <f t="shared" si="5"/>
        <v/>
      </c>
      <c r="H48" s="18"/>
      <c r="I48" s="18"/>
      <c r="J48" s="18"/>
      <c r="K48" s="28"/>
      <c r="L48" s="18"/>
      <c r="M48" s="28"/>
      <c r="N48" s="17" t="str">
        <f t="shared" si="6"/>
        <v/>
      </c>
      <c r="O48" s="14" t="str" cm="1">
        <f t="array" ref="O48">IF(A48="", "", TEXT(IF(L48="", 0, (((0.018 * D48^2) + (IF(L48="Trail", 0.0065, 0.005) * (F48+G48)) + (0.11 * (F48+G48) * _xlfn.IFS(L48="Urban", 0, L48="Suburban", 0.015, L48="City Hills", 0.045, L48="Trail", 0.02))) / 0.55)), "0.0"))</f>
        <v/>
      </c>
      <c r="P48" s="18"/>
      <c r="Q48" s="29"/>
      <c r="R48" s="19"/>
      <c r="S48" s="19"/>
      <c r="T48" s="19"/>
      <c r="U48" s="19"/>
      <c r="V48" s="19"/>
      <c r="W48" s="19"/>
    </row>
    <row r="49" spans="1:23" x14ac:dyDescent="0.35">
      <c r="A49" s="27"/>
      <c r="B49" s="14" t="str" cm="1">
        <f t="array" ref="B49">IF(A49="", "", IF(UPPER(P49)="C", 1, MIN(5, MAX(1, ROUND(((E49/50)*1 + IF(E49&gt;=30, 0.3, 0)) + ((D49/28)*2.2 + IF(D49&gt;=28, 0.4, 0)) - ((C49/1000)*1) + 1.6, 2) - IF(UPPER(P49)="Y", 1.6, 0))) + _xlfn.IFS($B$2, (10000-C49)*0.000001, $C$2, D49*0.000001, $D$2, E49*0.000001)))</f>
        <v/>
      </c>
      <c r="C49" s="28"/>
      <c r="D49" s="15" t="str" cm="1">
        <f t="array" ref="D49">IF(A49="", "", IF(M49="", 0, _xlfn.IFS(M49="Class 2", 20, M49="Class 3", 28, M49="Unlocked", MAX(0, (J49*0.36 - (IF(L49="Trail", 0.0065, 0.005) + 0.11 * _xlfn.IFS(L49="Urban", 0, L49="Suburban", 0.015, L49="City Hills", 0.045, L49="Trail", 0.02)) * (F49+G49)) / 0.018)^(1/3))))</f>
        <v/>
      </c>
      <c r="E49" s="16" t="str">
        <f t="shared" si="4"/>
        <v/>
      </c>
      <c r="F49" s="18"/>
      <c r="G49" s="28" t="str">
        <f t="shared" si="5"/>
        <v/>
      </c>
      <c r="H49" s="18"/>
      <c r="I49" s="18"/>
      <c r="J49" s="18"/>
      <c r="K49" s="28"/>
      <c r="L49" s="18"/>
      <c r="M49" s="28"/>
      <c r="N49" s="17" t="str">
        <f t="shared" si="6"/>
        <v/>
      </c>
      <c r="O49" s="14" t="str" cm="1">
        <f t="array" ref="O49">IF(A49="", "", TEXT(IF(L49="", 0, (((0.018 * D49^2) + (IF(L49="Trail", 0.0065, 0.005) * (F49+G49)) + (0.11 * (F49+G49) * _xlfn.IFS(L49="Urban", 0, L49="Suburban", 0.015, L49="City Hills", 0.045, L49="Trail", 0.02))) / 0.55)), "0.0"))</f>
        <v/>
      </c>
      <c r="P49" s="18"/>
      <c r="Q49" s="29"/>
      <c r="R49" s="19"/>
      <c r="S49" s="19"/>
      <c r="T49" s="19"/>
      <c r="U49" s="19"/>
      <c r="V49" s="19"/>
      <c r="W49" s="19"/>
    </row>
    <row r="50" spans="1:23" x14ac:dyDescent="0.35">
      <c r="A50" s="27"/>
      <c r="B50" s="14" t="str" cm="1">
        <f t="array" ref="B50">IF(A50="", "", IF(UPPER(P50)="C", 1, MIN(5, MAX(1, ROUND(((E50/50)*1 + IF(E50&gt;=30, 0.3, 0)) + ((D50/28)*2.2 + IF(D50&gt;=28, 0.4, 0)) - ((C50/1000)*1) + 1.6, 2) - IF(UPPER(P50)="Y", 1.6, 0))) + _xlfn.IFS($B$2, (10000-C50)*0.000001, $C$2, D50*0.000001, $D$2, E50*0.000001)))</f>
        <v/>
      </c>
      <c r="C50" s="28"/>
      <c r="D50" s="15" t="str" cm="1">
        <f t="array" ref="D50">IF(A50="", "", IF(M50="", 0, _xlfn.IFS(M50="Class 2", 20, M50="Class 3", 28, M50="Unlocked", MAX(0, (J50*0.36 - (IF(L50="Trail", 0.0065, 0.005) + 0.11 * _xlfn.IFS(L50="Urban", 0, L50="Suburban", 0.015, L50="City Hills", 0.045, L50="Trail", 0.02)) * (F50+G50)) / 0.018)^(1/3))))</f>
        <v/>
      </c>
      <c r="E50" s="16" t="str">
        <f t="shared" si="4"/>
        <v/>
      </c>
      <c r="F50" s="18"/>
      <c r="G50" s="28" t="str">
        <f t="shared" si="5"/>
        <v/>
      </c>
      <c r="H50" s="18"/>
      <c r="I50" s="18"/>
      <c r="J50" s="18"/>
      <c r="K50" s="28"/>
      <c r="L50" s="18"/>
      <c r="M50" s="28"/>
      <c r="N50" s="17" t="str">
        <f t="shared" si="6"/>
        <v/>
      </c>
      <c r="O50" s="14" t="str" cm="1">
        <f t="array" ref="O50">IF(A50="", "", TEXT(IF(L50="", 0, (((0.018 * D50^2) + (IF(L50="Trail", 0.0065, 0.005) * (F50+G50)) + (0.11 * (F50+G50) * _xlfn.IFS(L50="Urban", 0, L50="Suburban", 0.015, L50="City Hills", 0.045, L50="Trail", 0.02))) / 0.55)), "0.0"))</f>
        <v/>
      </c>
      <c r="P50" s="18"/>
      <c r="Q50" s="29"/>
      <c r="R50" s="19"/>
      <c r="S50" s="19"/>
      <c r="T50" s="19"/>
      <c r="U50" s="19"/>
      <c r="V50" s="19"/>
      <c r="W50" s="19"/>
    </row>
    <row r="51" spans="1:23" x14ac:dyDescent="0.35">
      <c r="A51" s="27"/>
      <c r="B51" s="14" t="str" cm="1">
        <f t="array" ref="B51">IF(A51="", "", IF(UPPER(P51)="C", 1, MIN(5, MAX(1, ROUND(((E51/50)*1 + IF(E51&gt;=30, 0.3, 0)) + ((D51/28)*2.2 + IF(D51&gt;=28, 0.4, 0)) - ((C51/1000)*1) + 1.6, 2) - IF(UPPER(P51)="Y", 1.6, 0))) + _xlfn.IFS($B$2, (10000-C51)*0.000001, $C$2, D51*0.000001, $D$2, E51*0.000001)))</f>
        <v/>
      </c>
      <c r="C51" s="28"/>
      <c r="D51" s="15" t="str" cm="1">
        <f t="array" ref="D51">IF(A51="", "", IF(M51="", 0, _xlfn.IFS(M51="Class 2", 20, M51="Class 3", 28, M51="Unlocked", MAX(0, (J51*0.36 - (IF(L51="Trail", 0.0065, 0.005) + 0.11 * _xlfn.IFS(L51="Urban", 0, L51="Suburban", 0.015, L51="City Hills", 0.045, L51="Trail", 0.02)) * (F51+G51)) / 0.018)^(1/3))))</f>
        <v/>
      </c>
      <c r="E51" s="16" t="str">
        <f t="shared" si="4"/>
        <v/>
      </c>
      <c r="F51" s="18"/>
      <c r="G51" s="28" t="str">
        <f t="shared" si="5"/>
        <v/>
      </c>
      <c r="H51" s="18"/>
      <c r="I51" s="18"/>
      <c r="J51" s="18"/>
      <c r="K51" s="28"/>
      <c r="L51" s="18"/>
      <c r="M51" s="28"/>
      <c r="N51" s="17" t="str">
        <f t="shared" si="6"/>
        <v/>
      </c>
      <c r="O51" s="14" t="str" cm="1">
        <f t="array" ref="O51">IF(A51="", "", TEXT(IF(L51="", 0, (((0.018 * D51^2) + (IF(L51="Trail", 0.0065, 0.005) * (F51+G51)) + (0.11 * (F51+G51) * _xlfn.IFS(L51="Urban", 0, L51="Suburban", 0.015, L51="City Hills", 0.045, L51="Trail", 0.02))) / 0.55)), "0.0"))</f>
        <v/>
      </c>
      <c r="P51" s="18"/>
      <c r="Q51" s="29"/>
      <c r="R51" s="19"/>
      <c r="S51" s="19"/>
      <c r="T51" s="19"/>
      <c r="U51" s="19"/>
      <c r="V51" s="19"/>
      <c r="W51" s="19"/>
    </row>
    <row r="52" spans="1:23" x14ac:dyDescent="0.35">
      <c r="A52" s="27"/>
      <c r="B52" s="14" t="str" cm="1">
        <f t="array" ref="B52">IF(A52="", "", IF(UPPER(P52)="C", 1, MIN(5, MAX(1, ROUND(((E52/50)*1 + IF(E52&gt;=30, 0.3, 0)) + ((D52/28)*2.2 + IF(D52&gt;=28, 0.4, 0)) - ((C52/1000)*1) + 1.6, 2) - IF(UPPER(P52)="Y", 1.6, 0))) + _xlfn.IFS($B$2, (10000-C52)*0.000001, $C$2, D52*0.000001, $D$2, E52*0.000001)))</f>
        <v/>
      </c>
      <c r="C52" s="28"/>
      <c r="D52" s="15" t="str" cm="1">
        <f t="array" ref="D52">IF(A52="", "", IF(M52="", 0, _xlfn.IFS(M52="Class 2", 20, M52="Class 3", 28, M52="Unlocked", MAX(0, (J52*0.36 - (IF(L52="Trail", 0.0065, 0.005) + 0.11 * _xlfn.IFS(L52="Urban", 0, L52="Suburban", 0.015, L52="City Hills", 0.045, L52="Trail", 0.02)) * (F52+G52)) / 0.018)^(1/3))))</f>
        <v/>
      </c>
      <c r="E52" s="16" t="str">
        <f t="shared" si="4"/>
        <v/>
      </c>
      <c r="F52" s="18"/>
      <c r="G52" s="28" t="str">
        <f t="shared" si="5"/>
        <v/>
      </c>
      <c r="H52" s="18"/>
      <c r="I52" s="18"/>
      <c r="J52" s="18"/>
      <c r="K52" s="28"/>
      <c r="L52" s="18"/>
      <c r="M52" s="28"/>
      <c r="N52" s="17" t="str">
        <f t="shared" si="6"/>
        <v/>
      </c>
      <c r="O52" s="14" t="str" cm="1">
        <f t="array" ref="O52">IF(A52="", "", TEXT(IF(L52="", 0, (((0.018 * D52^2) + (IF(L52="Trail", 0.0065, 0.005) * (F52+G52)) + (0.11 * (F52+G52) * _xlfn.IFS(L52="Urban", 0, L52="Suburban", 0.015, L52="City Hills", 0.045, L52="Trail", 0.02))) / 0.55)), "0.0"))</f>
        <v/>
      </c>
      <c r="P52" s="18"/>
      <c r="Q52" s="29"/>
      <c r="R52" s="19"/>
      <c r="S52" s="19"/>
      <c r="T52" s="19"/>
      <c r="U52" s="19"/>
      <c r="V52" s="19"/>
      <c r="W52" s="19"/>
    </row>
    <row r="53" spans="1:23" x14ac:dyDescent="0.35">
      <c r="A53" s="27"/>
      <c r="B53" s="14" t="str" cm="1">
        <f t="array" ref="B53">IF(A53="", "", IF(UPPER(P53)="C", 1, MIN(5, MAX(1, ROUND(((E53/50)*1 + IF(E53&gt;=30, 0.3, 0)) + ((D53/28)*2.2 + IF(D53&gt;=28, 0.4, 0)) - ((C53/1000)*1) + 1.6, 2) - IF(UPPER(P53)="Y", 1.6, 0))) + _xlfn.IFS($B$2, (10000-C53)*0.000001, $C$2, D53*0.000001, $D$2, E53*0.000001)))</f>
        <v/>
      </c>
      <c r="C53" s="28"/>
      <c r="D53" s="15" t="str" cm="1">
        <f t="array" ref="D53">IF(A53="", "", IF(M53="", 0, _xlfn.IFS(M53="Class 2", 20, M53="Class 3", 28, M53="Unlocked", MAX(0, (J53*0.36 - (IF(L53="Trail", 0.0065, 0.005) + 0.11 * _xlfn.IFS(L53="Urban", 0, L53="Suburban", 0.015, L53="City Hills", 0.045, L53="Trail", 0.02)) * (F53+G53)) / 0.018)^(1/3))))</f>
        <v/>
      </c>
      <c r="E53" s="16" t="str">
        <f t="shared" si="4"/>
        <v/>
      </c>
      <c r="F53" s="18"/>
      <c r="G53" s="28" t="str">
        <f t="shared" si="5"/>
        <v/>
      </c>
      <c r="H53" s="18"/>
      <c r="I53" s="18"/>
      <c r="J53" s="18"/>
      <c r="K53" s="28"/>
      <c r="L53" s="18"/>
      <c r="M53" s="28"/>
      <c r="N53" s="17" t="str">
        <f t="shared" si="6"/>
        <v/>
      </c>
      <c r="O53" s="14" t="str" cm="1">
        <f t="array" ref="O53">IF(A53="", "", TEXT(IF(L53="", 0, (((0.018 * D53^2) + (IF(L53="Trail", 0.0065, 0.005) * (F53+G53)) + (0.11 * (F53+G53) * _xlfn.IFS(L53="Urban", 0, L53="Suburban", 0.015, L53="City Hills", 0.045, L53="Trail", 0.02))) / 0.55)), "0.0"))</f>
        <v/>
      </c>
      <c r="P53" s="18"/>
      <c r="Q53" s="29"/>
      <c r="R53" s="19"/>
      <c r="S53" s="19"/>
      <c r="T53" s="19"/>
      <c r="U53" s="19"/>
      <c r="V53" s="19"/>
      <c r="W53" s="19"/>
    </row>
    <row r="54" spans="1:23" x14ac:dyDescent="0.35">
      <c r="A54" s="27"/>
      <c r="B54" s="14" t="str" cm="1">
        <f t="array" ref="B54">IF(A54="", "", IF(UPPER(P54)="C", 1, MIN(5, MAX(1, ROUND(((E54/50)*1 + IF(E54&gt;=30, 0.3, 0)) + ((D54/28)*2.2 + IF(D54&gt;=28, 0.4, 0)) - ((C54/1000)*1) + 1.6, 2) - IF(UPPER(P54)="Y", 1.6, 0))) + _xlfn.IFS($B$2, (10000-C54)*0.000001, $C$2, D54*0.000001, $D$2, E54*0.000001)))</f>
        <v/>
      </c>
      <c r="C54" s="28"/>
      <c r="D54" s="15" t="str" cm="1">
        <f t="array" ref="D54">IF(A54="", "", IF(M54="", 0, _xlfn.IFS(M54="Class 2", 20, M54="Class 3", 28, M54="Unlocked", MAX(0, (J54*0.36 - (IF(L54="Trail", 0.0065, 0.005) + 0.11 * _xlfn.IFS(L54="Urban", 0, L54="Suburban", 0.015, L54="City Hills", 0.045, L54="Trail", 0.02)) * (F54+G54)) / 0.018)^(1/3))))</f>
        <v/>
      </c>
      <c r="E54" s="16" t="str">
        <f t="shared" si="4"/>
        <v/>
      </c>
      <c r="F54" s="18"/>
      <c r="G54" s="28" t="str">
        <f t="shared" si="5"/>
        <v/>
      </c>
      <c r="H54" s="18"/>
      <c r="I54" s="18"/>
      <c r="J54" s="18"/>
      <c r="K54" s="28"/>
      <c r="L54" s="18"/>
      <c r="M54" s="28"/>
      <c r="N54" s="17" t="str">
        <f t="shared" si="6"/>
        <v/>
      </c>
      <c r="O54" s="14" t="str" cm="1">
        <f t="array" ref="O54">IF(A54="", "", TEXT(IF(L54="", 0, (((0.018 * D54^2) + (IF(L54="Trail", 0.0065, 0.005) * (F54+G54)) + (0.11 * (F54+G54) * _xlfn.IFS(L54="Urban", 0, L54="Suburban", 0.015, L54="City Hills", 0.045, L54="Trail", 0.02))) / 0.55)), "0.0"))</f>
        <v/>
      </c>
      <c r="P54" s="18"/>
      <c r="Q54" s="29"/>
      <c r="R54" s="19"/>
      <c r="S54" s="19"/>
      <c r="T54" s="19"/>
      <c r="U54" s="19"/>
      <c r="V54" s="19"/>
      <c r="W54" s="19"/>
    </row>
    <row r="55" spans="1:23" x14ac:dyDescent="0.35">
      <c r="A55" s="27"/>
      <c r="B55" s="14" t="str" cm="1">
        <f t="array" ref="B55">IF(A55="", "", IF(UPPER(P55)="C", 1, MIN(5, MAX(1, ROUND(((E55/50)*1 + IF(E55&gt;=30, 0.3, 0)) + ((D55/28)*2.2 + IF(D55&gt;=28, 0.4, 0)) - ((C55/1000)*1) + 1.6, 2) - IF(UPPER(P55)="Y", 1.6, 0))) + _xlfn.IFS($B$2, (10000-C55)*0.000001, $C$2, D55*0.000001, $D$2, E55*0.000001)))</f>
        <v/>
      </c>
      <c r="C55" s="28"/>
      <c r="D55" s="15" t="str" cm="1">
        <f t="array" ref="D55">IF(A55="", "", IF(M55="", 0, _xlfn.IFS(M55="Class 2", 20, M55="Class 3", 28, M55="Unlocked", MAX(0, (J55*0.36 - (IF(L55="Trail", 0.0065, 0.005) + 0.11 * _xlfn.IFS(L55="Urban", 0, L55="Suburban", 0.015, L55="City Hills", 0.045, L55="Trail", 0.02)) * (F55+G55)) / 0.018)^(1/3))))</f>
        <v/>
      </c>
      <c r="E55" s="16" t="str">
        <f t="shared" si="4"/>
        <v/>
      </c>
      <c r="F55" s="18"/>
      <c r="G55" s="28" t="str">
        <f t="shared" si="5"/>
        <v/>
      </c>
      <c r="H55" s="18"/>
      <c r="I55" s="18"/>
      <c r="J55" s="18"/>
      <c r="K55" s="28"/>
      <c r="L55" s="18"/>
      <c r="M55" s="28"/>
      <c r="N55" s="17" t="str">
        <f t="shared" si="6"/>
        <v/>
      </c>
      <c r="O55" s="14" t="str" cm="1">
        <f t="array" ref="O55">IF(A55="", "", TEXT(IF(L55="", 0, (((0.018 * D55^2) + (IF(L55="Trail", 0.0065, 0.005) * (F55+G55)) + (0.11 * (F55+G55) * _xlfn.IFS(L55="Urban", 0, L55="Suburban", 0.015, L55="City Hills", 0.045, L55="Trail", 0.02))) / 0.55)), "0.0"))</f>
        <v/>
      </c>
      <c r="P55" s="18"/>
      <c r="Q55" s="29"/>
      <c r="R55" s="19"/>
      <c r="S55" s="19"/>
      <c r="T55" s="19"/>
      <c r="U55" s="19"/>
      <c r="V55" s="19"/>
      <c r="W55" s="19"/>
    </row>
    <row r="56" spans="1:23" x14ac:dyDescent="0.35">
      <c r="A56" s="27"/>
      <c r="B56" s="14" t="str" cm="1">
        <f t="array" ref="B56">IF(A56="", "", IF(UPPER(P56)="C", 1, MIN(5, MAX(1, ROUND(((E56/50)*1 + IF(E56&gt;=30, 0.3, 0)) + ((D56/28)*2.2 + IF(D56&gt;=28, 0.4, 0)) - ((C56/1000)*1) + 1.6, 2) - IF(UPPER(P56)="Y", 1.6, 0))) + _xlfn.IFS($B$2, (10000-C56)*0.000001, $C$2, D56*0.000001, $D$2, E56*0.000001)))</f>
        <v/>
      </c>
      <c r="C56" s="28"/>
      <c r="D56" s="15" t="str" cm="1">
        <f t="array" ref="D56">IF(A56="", "", IF(M56="", 0, _xlfn.IFS(M56="Class 2", 20, M56="Class 3", 28, M56="Unlocked", MAX(0, (J56*0.36 - (IF(L56="Trail", 0.0065, 0.005) + 0.11 * _xlfn.IFS(L56="Urban", 0, L56="Suburban", 0.015, L56="City Hills", 0.045, L56="Trail", 0.02)) * (F56+G56)) / 0.018)^(1/3))))</f>
        <v/>
      </c>
      <c r="E56" s="16" t="str">
        <f t="shared" si="4"/>
        <v/>
      </c>
      <c r="F56" s="18"/>
      <c r="G56" s="28" t="str">
        <f t="shared" si="5"/>
        <v/>
      </c>
      <c r="H56" s="18"/>
      <c r="I56" s="18"/>
      <c r="J56" s="18"/>
      <c r="K56" s="28"/>
      <c r="L56" s="18"/>
      <c r="M56" s="28"/>
      <c r="N56" s="17" t="str">
        <f t="shared" si="6"/>
        <v/>
      </c>
      <c r="O56" s="14" t="str" cm="1">
        <f t="array" ref="O56">IF(A56="", "", TEXT(IF(L56="", 0, (((0.018 * D56^2) + (IF(L56="Trail", 0.0065, 0.005) * (F56+G56)) + (0.11 * (F56+G56) * _xlfn.IFS(L56="Urban", 0, L56="Suburban", 0.015, L56="City Hills", 0.045, L56="Trail", 0.02))) / 0.55)), "0.0"))</f>
        <v/>
      </c>
      <c r="P56" s="18"/>
      <c r="Q56" s="29"/>
      <c r="R56" s="19"/>
      <c r="S56" s="19"/>
      <c r="T56" s="19"/>
      <c r="U56" s="19"/>
      <c r="V56" s="19"/>
      <c r="W56" s="19"/>
    </row>
    <row r="57" spans="1:23" x14ac:dyDescent="0.35">
      <c r="A57" s="27"/>
      <c r="B57" s="14" t="str" cm="1">
        <f t="array" ref="B57">IF(A57="", "", IF(UPPER(P57)="C", 1, MIN(5, MAX(1, ROUND(((E57/50)*1 + IF(E57&gt;=30, 0.3, 0)) + ((D57/28)*2.2 + IF(D57&gt;=28, 0.4, 0)) - ((C57/1000)*1) + 1.6, 2) - IF(UPPER(P57)="Y", 1.6, 0))) + _xlfn.IFS($B$2, (10000-C57)*0.000001, $C$2, D57*0.000001, $D$2, E57*0.000001)))</f>
        <v/>
      </c>
      <c r="C57" s="28"/>
      <c r="D57" s="15" t="str" cm="1">
        <f t="array" ref="D57">IF(A57="", "", IF(M57="", 0, _xlfn.IFS(M57="Class 2", 20, M57="Class 3", 28, M57="Unlocked", MAX(0, (J57*0.36 - (IF(L57="Trail", 0.0065, 0.005) + 0.11 * _xlfn.IFS(L57="Urban", 0, L57="Suburban", 0.015, L57="City Hills", 0.045, L57="Trail", 0.02)) * (F57+G57)) / 0.018)^(1/3))))</f>
        <v/>
      </c>
      <c r="E57" s="16" t="str">
        <f t="shared" si="4"/>
        <v/>
      </c>
      <c r="F57" s="18"/>
      <c r="G57" s="28" t="str">
        <f t="shared" si="5"/>
        <v/>
      </c>
      <c r="H57" s="18"/>
      <c r="I57" s="18"/>
      <c r="J57" s="18"/>
      <c r="K57" s="28"/>
      <c r="L57" s="18"/>
      <c r="M57" s="28"/>
      <c r="N57" s="17" t="str">
        <f t="shared" si="6"/>
        <v/>
      </c>
      <c r="O57" s="14" t="str" cm="1">
        <f t="array" ref="O57">IF(A57="", "", TEXT(IF(L57="", 0, (((0.018 * D57^2) + (IF(L57="Trail", 0.0065, 0.005) * (F57+G57)) + (0.11 * (F57+G57) * _xlfn.IFS(L57="Urban", 0, L57="Suburban", 0.015, L57="City Hills", 0.045, L57="Trail", 0.02))) / 0.55)), "0.0"))</f>
        <v/>
      </c>
      <c r="P57" s="18"/>
      <c r="Q57" s="29"/>
      <c r="R57" s="19"/>
      <c r="S57" s="19"/>
      <c r="T57" s="19"/>
      <c r="U57" s="19"/>
      <c r="V57" s="19"/>
      <c r="W57" s="19"/>
    </row>
    <row r="58" spans="1:23" x14ac:dyDescent="0.35">
      <c r="A58" s="27"/>
      <c r="B58" s="14" t="str" cm="1">
        <f t="array" ref="B58">IF(A58="", "", IF(UPPER(P58)="C", 1, MIN(5, MAX(1, ROUND(((E58/50)*1 + IF(E58&gt;=30, 0.3, 0)) + ((D58/28)*2.2 + IF(D58&gt;=28, 0.4, 0)) - ((C58/1000)*1) + 1.6, 2) - IF(UPPER(P58)="Y", 1.6, 0))) + _xlfn.IFS($B$2, (10000-C58)*0.000001, $C$2, D58*0.000001, $D$2, E58*0.000001)))</f>
        <v/>
      </c>
      <c r="C58" s="28"/>
      <c r="D58" s="15" t="str" cm="1">
        <f t="array" ref="D58">IF(A58="", "", IF(M58="", 0, _xlfn.IFS(M58="Class 2", 20, M58="Class 3", 28, M58="Unlocked", MAX(0, (J58*0.36 - (IF(L58="Trail", 0.0065, 0.005) + 0.11 * _xlfn.IFS(L58="Urban", 0, L58="Suburban", 0.015, L58="City Hills", 0.045, L58="Trail", 0.02)) * (F58+G58)) / 0.018)^(1/3))))</f>
        <v/>
      </c>
      <c r="E58" s="16" t="str">
        <f t="shared" si="4"/>
        <v/>
      </c>
      <c r="F58" s="18"/>
      <c r="G58" s="28" t="str">
        <f t="shared" si="5"/>
        <v/>
      </c>
      <c r="H58" s="18"/>
      <c r="I58" s="18"/>
      <c r="J58" s="18"/>
      <c r="K58" s="28"/>
      <c r="L58" s="18"/>
      <c r="M58" s="28"/>
      <c r="N58" s="17" t="str">
        <f t="shared" si="6"/>
        <v/>
      </c>
      <c r="O58" s="14" t="str" cm="1">
        <f t="array" ref="O58">IF(A58="", "", TEXT(IF(L58="", 0, (((0.018 * D58^2) + (IF(L58="Trail", 0.0065, 0.005) * (F58+G58)) + (0.11 * (F58+G58) * _xlfn.IFS(L58="Urban", 0, L58="Suburban", 0.015, L58="City Hills", 0.045, L58="Trail", 0.02))) / 0.55)), "0.0"))</f>
        <v/>
      </c>
      <c r="P58" s="18"/>
      <c r="Q58" s="29"/>
      <c r="R58" s="19"/>
      <c r="S58" s="19"/>
      <c r="T58" s="19"/>
      <c r="U58" s="19"/>
      <c r="V58" s="19"/>
      <c r="W58" s="19"/>
    </row>
    <row r="59" spans="1:23" x14ac:dyDescent="0.35">
      <c r="A59" s="27"/>
      <c r="B59" s="14" t="str" cm="1">
        <f t="array" ref="B59">IF(A59="", "", IF(UPPER(P59)="C", 1, MIN(5, MAX(1, ROUND(((E59/50)*1 + IF(E59&gt;=30, 0.3, 0)) + ((D59/28)*2.2 + IF(D59&gt;=28, 0.4, 0)) - ((C59/1000)*1) + 1.6, 2) - IF(UPPER(P59)="Y", 1.6, 0))) + _xlfn.IFS($B$2, (10000-C59)*0.000001, $C$2, D59*0.000001, $D$2, E59*0.000001)))</f>
        <v/>
      </c>
      <c r="C59" s="28"/>
      <c r="D59" s="15" t="str" cm="1">
        <f t="array" ref="D59">IF(A59="", "", IF(M59="", 0, _xlfn.IFS(M59="Class 2", 20, M59="Class 3", 28, M59="Unlocked", MAX(0, (J59*0.36 - (IF(L59="Trail", 0.0065, 0.005) + 0.11 * _xlfn.IFS(L59="Urban", 0, L59="Suburban", 0.015, L59="City Hills", 0.045, L59="Trail", 0.02)) * (F59+G59)) / 0.018)^(1/3))))</f>
        <v/>
      </c>
      <c r="E59" s="16" t="str">
        <f t="shared" si="4"/>
        <v/>
      </c>
      <c r="F59" s="18"/>
      <c r="G59" s="28" t="str">
        <f t="shared" si="5"/>
        <v/>
      </c>
      <c r="H59" s="18"/>
      <c r="I59" s="18"/>
      <c r="J59" s="18"/>
      <c r="K59" s="28"/>
      <c r="L59" s="18"/>
      <c r="M59" s="28"/>
      <c r="N59" s="17" t="str">
        <f t="shared" si="6"/>
        <v/>
      </c>
      <c r="O59" s="14" t="str" cm="1">
        <f t="array" ref="O59">IF(A59="", "", TEXT(IF(L59="", 0, (((0.018 * D59^2) + (IF(L59="Trail", 0.0065, 0.005) * (F59+G59)) + (0.11 * (F59+G59) * _xlfn.IFS(L59="Urban", 0, L59="Suburban", 0.015, L59="City Hills", 0.045, L59="Trail", 0.02))) / 0.55)), "0.0"))</f>
        <v/>
      </c>
      <c r="P59" s="18"/>
      <c r="Q59" s="29"/>
      <c r="R59" s="19"/>
      <c r="S59" s="19"/>
      <c r="T59" s="19"/>
      <c r="U59" s="19"/>
      <c r="V59" s="19"/>
      <c r="W59" s="19"/>
    </row>
    <row r="60" spans="1:23" x14ac:dyDescent="0.35">
      <c r="A60" s="27"/>
      <c r="B60" s="14" t="str" cm="1">
        <f t="array" ref="B60">IF(A60="", "", IF(UPPER(P60)="C", 1, MIN(5, MAX(1, ROUND(((E60/50)*1 + IF(E60&gt;=30, 0.3, 0)) + ((D60/28)*2.2 + IF(D60&gt;=28, 0.4, 0)) - ((C60/1000)*1) + 1.6, 2) - IF(UPPER(P60)="Y", 1.6, 0))) + _xlfn.IFS($B$2, (10000-C60)*0.000001, $C$2, D60*0.000001, $D$2, E60*0.000001)))</f>
        <v/>
      </c>
      <c r="C60" s="28"/>
      <c r="D60" s="15" t="str" cm="1">
        <f t="array" ref="D60">IF(A60="", "", IF(M60="", 0, _xlfn.IFS(M60="Class 2", 20, M60="Class 3", 28, M60="Unlocked", MAX(0, (J60*0.36 - (IF(L60="Trail", 0.0065, 0.005) + 0.11 * _xlfn.IFS(L60="Urban", 0, L60="Suburban", 0.015, L60="City Hills", 0.045, L60="Trail", 0.02)) * (F60+G60)) / 0.018)^(1/3))))</f>
        <v/>
      </c>
      <c r="E60" s="16" t="str">
        <f t="shared" si="4"/>
        <v/>
      </c>
      <c r="F60" s="18"/>
      <c r="G60" s="28" t="str">
        <f t="shared" si="5"/>
        <v/>
      </c>
      <c r="H60" s="18"/>
      <c r="I60" s="18"/>
      <c r="J60" s="18"/>
      <c r="K60" s="28"/>
      <c r="L60" s="18"/>
      <c r="M60" s="28"/>
      <c r="N60" s="17" t="str">
        <f t="shared" si="6"/>
        <v/>
      </c>
      <c r="O60" s="14" t="str" cm="1">
        <f t="array" ref="O60">IF(A60="", "", TEXT(IF(L60="", 0, (((0.018 * D60^2) + (IF(L60="Trail", 0.0065, 0.005) * (F60+G60)) + (0.11 * (F60+G60) * _xlfn.IFS(L60="Urban", 0, L60="Suburban", 0.015, L60="City Hills", 0.045, L60="Trail", 0.02))) / 0.55)), "0.0"))</f>
        <v/>
      </c>
      <c r="P60" s="18"/>
      <c r="Q60" s="29"/>
      <c r="R60" s="19"/>
      <c r="S60" s="19"/>
      <c r="T60" s="19"/>
      <c r="U60" s="19"/>
      <c r="V60" s="19"/>
      <c r="W60" s="19"/>
    </row>
    <row r="61" spans="1:23" x14ac:dyDescent="0.35">
      <c r="A61" s="27"/>
      <c r="B61" s="14" t="str" cm="1">
        <f t="array" ref="B61">IF(A61="", "", IF(UPPER(P61)="C", 1, MIN(5, MAX(1, ROUND(((E61/50)*1 + IF(E61&gt;=30, 0.3, 0)) + ((D61/28)*2.2 + IF(D61&gt;=28, 0.4, 0)) - ((C61/1000)*1) + 1.6, 2) - IF(UPPER(P61)="Y", 1.6, 0))) + _xlfn.IFS($B$2, (10000-C61)*0.000001, $C$2, D61*0.000001, $D$2, E61*0.000001)))</f>
        <v/>
      </c>
      <c r="C61" s="28"/>
      <c r="D61" s="15" t="str" cm="1">
        <f t="array" ref="D61">IF(A61="", "", IF(M61="", 0, _xlfn.IFS(M61="Class 2", 20, M61="Class 3", 28, M61="Unlocked", MAX(0, (J61*0.36 - (IF(L61="Trail", 0.0065, 0.005) + 0.11 * _xlfn.IFS(L61="Urban", 0, L61="Suburban", 0.015, L61="City Hills", 0.045, L61="Trail", 0.02)) * (F61+G61)) / 0.018)^(1/3))))</f>
        <v/>
      </c>
      <c r="E61" s="16" t="str">
        <f t="shared" si="4"/>
        <v/>
      </c>
      <c r="F61" s="18"/>
      <c r="G61" s="28" t="str">
        <f t="shared" si="5"/>
        <v/>
      </c>
      <c r="H61" s="18"/>
      <c r="I61" s="18"/>
      <c r="J61" s="18"/>
      <c r="K61" s="28"/>
      <c r="L61" s="18"/>
      <c r="M61" s="28"/>
      <c r="N61" s="17" t="str">
        <f t="shared" si="6"/>
        <v/>
      </c>
      <c r="O61" s="14" t="str" cm="1">
        <f t="array" ref="O61">IF(A61="", "", TEXT(IF(L61="", 0, (((0.018 * D61^2) + (IF(L61="Trail", 0.0065, 0.005) * (F61+G61)) + (0.11 * (F61+G61) * _xlfn.IFS(L61="Urban", 0, L61="Suburban", 0.015, L61="City Hills", 0.045, L61="Trail", 0.02))) / 0.55)), "0.0"))</f>
        <v/>
      </c>
      <c r="P61" s="18"/>
      <c r="Q61" s="29"/>
      <c r="R61" s="19"/>
      <c r="S61" s="19"/>
      <c r="T61" s="19"/>
      <c r="U61" s="19"/>
      <c r="V61" s="19"/>
      <c r="W61" s="19"/>
    </row>
    <row r="62" spans="1:23" x14ac:dyDescent="0.35">
      <c r="A62" s="27"/>
      <c r="B62" s="14" t="str" cm="1">
        <f t="array" ref="B62">IF(A62="", "", IF(UPPER(P62)="C", 1, MIN(5, MAX(1, ROUND(((E62/50)*1 + IF(E62&gt;=30, 0.3, 0)) + ((D62/28)*2.2 + IF(D62&gt;=28, 0.4, 0)) - ((C62/1000)*1) + 1.6, 2) - IF(UPPER(P62)="Y", 1.6, 0))) + _xlfn.IFS($B$2, (10000-C62)*0.000001, $C$2, D62*0.000001, $D$2, E62*0.000001)))</f>
        <v/>
      </c>
      <c r="C62" s="28"/>
      <c r="D62" s="15" t="str" cm="1">
        <f t="array" ref="D62">IF(A62="", "", IF(M62="", 0, _xlfn.IFS(M62="Class 2", 20, M62="Class 3", 28, M62="Unlocked", MAX(0, (J62*0.36 - (IF(L62="Trail", 0.0065, 0.005) + 0.11 * _xlfn.IFS(L62="Urban", 0, L62="Suburban", 0.015, L62="City Hills", 0.045, L62="Trail", 0.02)) * (F62+G62)) / 0.018)^(1/3))))</f>
        <v/>
      </c>
      <c r="E62" s="16" t="str">
        <f t="shared" si="4"/>
        <v/>
      </c>
      <c r="F62" s="18"/>
      <c r="G62" s="28" t="str">
        <f t="shared" si="5"/>
        <v/>
      </c>
      <c r="H62" s="18"/>
      <c r="I62" s="18"/>
      <c r="J62" s="18"/>
      <c r="K62" s="28"/>
      <c r="L62" s="18"/>
      <c r="M62" s="28"/>
      <c r="N62" s="17" t="str">
        <f t="shared" si="6"/>
        <v/>
      </c>
      <c r="O62" s="14" t="str" cm="1">
        <f t="array" ref="O62">IF(A62="", "", TEXT(IF(L62="", 0, (((0.018 * D62^2) + (IF(L62="Trail", 0.0065, 0.005) * (F62+G62)) + (0.11 * (F62+G62) * _xlfn.IFS(L62="Urban", 0, L62="Suburban", 0.015, L62="City Hills", 0.045, L62="Trail", 0.02))) / 0.55)), "0.0"))</f>
        <v/>
      </c>
      <c r="P62" s="18"/>
      <c r="Q62" s="29"/>
      <c r="R62" s="19"/>
      <c r="S62" s="19"/>
      <c r="T62" s="19"/>
      <c r="U62" s="19"/>
      <c r="V62" s="19"/>
      <c r="W62" s="19"/>
    </row>
    <row r="63" spans="1:23" x14ac:dyDescent="0.35">
      <c r="A63" s="27"/>
      <c r="B63" s="14" t="str" cm="1">
        <f t="array" ref="B63">IF(A63="", "", IF(UPPER(P63)="C", 1, MIN(5, MAX(1, ROUND(((E63/50)*1 + IF(E63&gt;=30, 0.3, 0)) + ((D63/28)*2.2 + IF(D63&gt;=28, 0.4, 0)) - ((C63/1000)*1) + 1.6, 2) - IF(UPPER(P63)="Y", 1.6, 0))) + _xlfn.IFS($B$2, (10000-C63)*0.000001, $C$2, D63*0.000001, $D$2, E63*0.000001)))</f>
        <v/>
      </c>
      <c r="C63" s="28"/>
      <c r="D63" s="15" t="str" cm="1">
        <f t="array" ref="D63">IF(A63="", "", IF(M63="", 0, _xlfn.IFS(M63="Class 2", 20, M63="Class 3", 28, M63="Unlocked", MAX(0, (J63*0.36 - (IF(L63="Trail", 0.0065, 0.005) + 0.11 * _xlfn.IFS(L63="Urban", 0, L63="Suburban", 0.015, L63="City Hills", 0.045, L63="Trail", 0.02)) * (F63+G63)) / 0.018)^(1/3))))</f>
        <v/>
      </c>
      <c r="E63" s="16" t="str">
        <f t="shared" si="4"/>
        <v/>
      </c>
      <c r="F63" s="18"/>
      <c r="G63" s="28" t="str">
        <f t="shared" si="5"/>
        <v/>
      </c>
      <c r="H63" s="18"/>
      <c r="I63" s="18"/>
      <c r="J63" s="18"/>
      <c r="K63" s="28"/>
      <c r="L63" s="18"/>
      <c r="M63" s="28"/>
      <c r="N63" s="17" t="str">
        <f t="shared" si="6"/>
        <v/>
      </c>
      <c r="O63" s="14" t="str" cm="1">
        <f t="array" ref="O63">IF(A63="", "", TEXT(IF(L63="", 0, (((0.018 * D63^2) + (IF(L63="Trail", 0.0065, 0.005) * (F63+G63)) + (0.11 * (F63+G63) * _xlfn.IFS(L63="Urban", 0, L63="Suburban", 0.015, L63="City Hills", 0.045, L63="Trail", 0.02))) / 0.55)), "0.0"))</f>
        <v/>
      </c>
      <c r="P63" s="18"/>
      <c r="Q63" s="29"/>
      <c r="R63" s="19"/>
      <c r="S63" s="19"/>
      <c r="T63" s="19"/>
      <c r="U63" s="19"/>
      <c r="V63" s="19"/>
      <c r="W63" s="19"/>
    </row>
    <row r="64" spans="1:23" x14ac:dyDescent="0.35">
      <c r="A64" s="27"/>
      <c r="B64" s="14" t="str" cm="1">
        <f t="array" ref="B64">IF(A64="", "", IF(UPPER(P64)="C", 1, MIN(5, MAX(1, ROUND(((E64/50)*1 + IF(E64&gt;=30, 0.3, 0)) + ((D64/28)*2.2 + IF(D64&gt;=28, 0.4, 0)) - ((C64/1000)*1) + 1.6, 2) - IF(UPPER(P64)="Y", 1.6, 0))) + _xlfn.IFS($B$2, (10000-C64)*0.000001, $C$2, D64*0.000001, $D$2, E64*0.000001)))</f>
        <v/>
      </c>
      <c r="C64" s="28"/>
      <c r="D64" s="15" t="str" cm="1">
        <f t="array" ref="D64">IF(A64="", "", IF(M64="", 0, _xlfn.IFS(M64="Class 2", 20, M64="Class 3", 28, M64="Unlocked", MAX(0, (J64*0.36 - (IF(L64="Trail", 0.0065, 0.005) + 0.11 * _xlfn.IFS(L64="Urban", 0, L64="Suburban", 0.015, L64="City Hills", 0.045, L64="Trail", 0.02)) * (F64+G64)) / 0.018)^(1/3))))</f>
        <v/>
      </c>
      <c r="E64" s="16" t="str">
        <f t="shared" si="4"/>
        <v/>
      </c>
      <c r="F64" s="18"/>
      <c r="G64" s="28" t="str">
        <f t="shared" si="5"/>
        <v/>
      </c>
      <c r="H64" s="18"/>
      <c r="I64" s="18"/>
      <c r="J64" s="18"/>
      <c r="K64" s="28"/>
      <c r="L64" s="18"/>
      <c r="M64" s="28"/>
      <c r="N64" s="17" t="str">
        <f t="shared" si="6"/>
        <v/>
      </c>
      <c r="O64" s="14" t="str" cm="1">
        <f t="array" ref="O64">IF(A64="", "", TEXT(IF(L64="", 0, (((0.018 * D64^2) + (IF(L64="Trail", 0.0065, 0.005) * (F64+G64)) + (0.11 * (F64+G64) * _xlfn.IFS(L64="Urban", 0, L64="Suburban", 0.015, L64="City Hills", 0.045, L64="Trail", 0.02))) / 0.55)), "0.0"))</f>
        <v/>
      </c>
      <c r="P64" s="18"/>
      <c r="Q64" s="29"/>
      <c r="R64" s="19"/>
      <c r="S64" s="19"/>
      <c r="T64" s="19"/>
      <c r="U64" s="19"/>
      <c r="V64" s="19"/>
      <c r="W64" s="19"/>
    </row>
    <row r="65" spans="1:23" x14ac:dyDescent="0.35">
      <c r="A65" s="27"/>
      <c r="B65" s="14" t="str" cm="1">
        <f t="array" ref="B65">IF(A65="", "", IF(UPPER(P65)="C", 1, MIN(5, MAX(1, ROUND(((E65/50)*1 + IF(E65&gt;=30, 0.3, 0)) + ((D65/28)*2.2 + IF(D65&gt;=28, 0.4, 0)) - ((C65/1000)*1) + 1.6, 2) - IF(UPPER(P65)="Y", 1.6, 0))) + _xlfn.IFS($B$2, (10000-C65)*0.000001, $C$2, D65*0.000001, $D$2, E65*0.000001)))</f>
        <v/>
      </c>
      <c r="C65" s="28"/>
      <c r="D65" s="15" t="str" cm="1">
        <f t="array" ref="D65">IF(A65="", "", IF(M65="", 0, _xlfn.IFS(M65="Class 2", 20, M65="Class 3", 28, M65="Unlocked", MAX(0, (J65*0.36 - (IF(L65="Trail", 0.0065, 0.005) + 0.11 * _xlfn.IFS(L65="Urban", 0, L65="Suburban", 0.015, L65="City Hills", 0.045, L65="Trail", 0.02)) * (F65+G65)) / 0.018)^(1/3))))</f>
        <v/>
      </c>
      <c r="E65" s="16" t="str">
        <f t="shared" si="4"/>
        <v/>
      </c>
      <c r="F65" s="18"/>
      <c r="G65" s="28" t="str">
        <f t="shared" si="5"/>
        <v/>
      </c>
      <c r="H65" s="18"/>
      <c r="I65" s="18"/>
      <c r="J65" s="18"/>
      <c r="K65" s="28"/>
      <c r="L65" s="18"/>
      <c r="M65" s="28"/>
      <c r="N65" s="17" t="str">
        <f t="shared" si="6"/>
        <v/>
      </c>
      <c r="O65" s="14" t="str" cm="1">
        <f t="array" ref="O65">IF(A65="", "", TEXT(IF(L65="", 0, (((0.018 * D65^2) + (IF(L65="Trail", 0.0065, 0.005) * (F65+G65)) + (0.11 * (F65+G65) * _xlfn.IFS(L65="Urban", 0, L65="Suburban", 0.015, L65="City Hills", 0.045, L65="Trail", 0.02))) / 0.55)), "0.0"))</f>
        <v/>
      </c>
      <c r="P65" s="18"/>
      <c r="Q65" s="29"/>
      <c r="R65" s="19"/>
      <c r="S65" s="19"/>
      <c r="T65" s="19"/>
      <c r="U65" s="19"/>
      <c r="V65" s="19"/>
      <c r="W65" s="19"/>
    </row>
    <row r="66" spans="1:23" x14ac:dyDescent="0.35">
      <c r="A66" s="27"/>
      <c r="B66" s="14" t="str" cm="1">
        <f t="array" ref="B66">IF(A66="", "", IF(UPPER(P66)="C", 1, MIN(5, MAX(1, ROUND(((E66/50)*1 + IF(E66&gt;=30, 0.3, 0)) + ((D66/28)*2.2 + IF(D66&gt;=28, 0.4, 0)) - ((C66/1000)*1) + 1.6, 2) - IF(UPPER(P66)="Y", 1.6, 0))) + _xlfn.IFS($B$2, (10000-C66)*0.000001, $C$2, D66*0.000001, $D$2, E66*0.000001)))</f>
        <v/>
      </c>
      <c r="C66" s="28"/>
      <c r="D66" s="15" t="str" cm="1">
        <f t="array" ref="D66">IF(A66="", "", IF(M66="", 0, _xlfn.IFS(M66="Class 2", 20, M66="Class 3", 28, M66="Unlocked", MAX(0, (J66*0.36 - (IF(L66="Trail", 0.0065, 0.005) + 0.11 * _xlfn.IFS(L66="Urban", 0, L66="Suburban", 0.015, L66="City Hills", 0.045, L66="Trail", 0.02)) * (F66+G66)) / 0.018)^(1/3))))</f>
        <v/>
      </c>
      <c r="E66" s="16" t="str">
        <f t="shared" si="4"/>
        <v/>
      </c>
      <c r="F66" s="18"/>
      <c r="G66" s="28" t="str">
        <f t="shared" si="5"/>
        <v/>
      </c>
      <c r="H66" s="18"/>
      <c r="I66" s="18"/>
      <c r="J66" s="18"/>
      <c r="K66" s="28"/>
      <c r="L66" s="18"/>
      <c r="M66" s="28"/>
      <c r="N66" s="17" t="str">
        <f t="shared" si="6"/>
        <v/>
      </c>
      <c r="O66" s="14" t="str" cm="1">
        <f t="array" ref="O66">IF(A66="", "", TEXT(IF(L66="", 0, (((0.018 * D66^2) + (IF(L66="Trail", 0.0065, 0.005) * (F66+G66)) + (0.11 * (F66+G66) * _xlfn.IFS(L66="Urban", 0, L66="Suburban", 0.015, L66="City Hills", 0.045, L66="Trail", 0.02))) / 0.55)), "0.0"))</f>
        <v/>
      </c>
      <c r="P66" s="18"/>
      <c r="Q66" s="29"/>
      <c r="R66" s="19"/>
      <c r="S66" s="19"/>
      <c r="T66" s="19"/>
      <c r="U66" s="19"/>
      <c r="V66" s="19"/>
      <c r="W66" s="19"/>
    </row>
    <row r="67" spans="1:23" x14ac:dyDescent="0.35">
      <c r="A67" s="27"/>
      <c r="B67" s="14" t="str" cm="1">
        <f t="array" ref="B67">IF(A67="", "", IF(UPPER(P67)="C", 1, MIN(5, MAX(1, ROUND(((E67/50)*1 + IF(E67&gt;=30, 0.3, 0)) + ((D67/28)*2.2 + IF(D67&gt;=28, 0.4, 0)) - ((C67/1000)*1) + 1.6, 2) - IF(UPPER(P67)="Y", 1.6, 0))) + _xlfn.IFS($B$2, (10000-C67)*0.000001, $C$2, D67*0.000001, $D$2, E67*0.000001)))</f>
        <v/>
      </c>
      <c r="C67" s="28"/>
      <c r="D67" s="15" t="str" cm="1">
        <f t="array" ref="D67">IF(A67="", "", IF(M67="", 0, _xlfn.IFS(M67="Class 2", 20, M67="Class 3", 28, M67="Unlocked", MAX(0, (J67*0.36 - (IF(L67="Trail", 0.0065, 0.005) + 0.11 * _xlfn.IFS(L67="Urban", 0, L67="Suburban", 0.015, L67="City Hills", 0.045, L67="Trail", 0.02)) * (F67+G67)) / 0.018)^(1/3))))</f>
        <v/>
      </c>
      <c r="E67" s="16" t="str">
        <f t="shared" si="4"/>
        <v/>
      </c>
      <c r="F67" s="18"/>
      <c r="G67" s="28" t="str">
        <f t="shared" si="5"/>
        <v/>
      </c>
      <c r="H67" s="18"/>
      <c r="I67" s="18"/>
      <c r="J67" s="18"/>
      <c r="K67" s="28"/>
      <c r="L67" s="18"/>
      <c r="M67" s="28"/>
      <c r="N67" s="17" t="str">
        <f t="shared" si="6"/>
        <v/>
      </c>
      <c r="O67" s="14" t="str" cm="1">
        <f t="array" ref="O67">IF(A67="", "", TEXT(IF(L67="", 0, (((0.018 * D67^2) + (IF(L67="Trail", 0.0065, 0.005) * (F67+G67)) + (0.11 * (F67+G67) * _xlfn.IFS(L67="Urban", 0, L67="Suburban", 0.015, L67="City Hills", 0.045, L67="Trail", 0.02))) / 0.55)), "0.0"))</f>
        <v/>
      </c>
      <c r="P67" s="18"/>
      <c r="Q67" s="29"/>
      <c r="R67" s="19"/>
      <c r="S67" s="19"/>
      <c r="T67" s="19"/>
      <c r="U67" s="19"/>
      <c r="V67" s="19"/>
      <c r="W67" s="19"/>
    </row>
    <row r="68" spans="1:23" x14ac:dyDescent="0.35">
      <c r="A68" s="27"/>
      <c r="B68" s="14" t="str" cm="1">
        <f t="array" ref="B68">IF(A68="", "", IF(UPPER(P68)="C", 1, MIN(5, MAX(1, ROUND(((E68/50)*1 + IF(E68&gt;=30, 0.3, 0)) + ((D68/28)*2.2 + IF(D68&gt;=28, 0.4, 0)) - ((C68/1000)*1) + 1.6, 2) - IF(UPPER(P68)="Y", 1.6, 0))) + _xlfn.IFS($B$2, (10000-C68)*0.000001, $C$2, D68*0.000001, $D$2, E68*0.000001)))</f>
        <v/>
      </c>
      <c r="C68" s="28"/>
      <c r="D68" s="15" t="str" cm="1">
        <f t="array" ref="D68">IF(A68="", "", IF(M68="", 0, _xlfn.IFS(M68="Class 2", 20, M68="Class 3", 28, M68="Unlocked", MAX(0, (J68*0.36 - (IF(L68="Trail", 0.0065, 0.005) + 0.11 * _xlfn.IFS(L68="Urban", 0, L68="Suburban", 0.015, L68="City Hills", 0.045, L68="Trail", 0.02)) * (F68+G68)) / 0.018)^(1/3))))</f>
        <v/>
      </c>
      <c r="E68" s="16" t="str">
        <f t="shared" si="4"/>
        <v/>
      </c>
      <c r="F68" s="18"/>
      <c r="G68" s="28" t="str">
        <f t="shared" si="5"/>
        <v/>
      </c>
      <c r="H68" s="18"/>
      <c r="I68" s="18"/>
      <c r="J68" s="18"/>
      <c r="K68" s="28"/>
      <c r="L68" s="18"/>
      <c r="M68" s="28"/>
      <c r="N68" s="17" t="str">
        <f t="shared" si="6"/>
        <v/>
      </c>
      <c r="O68" s="14" t="str" cm="1">
        <f t="array" ref="O68">IF(A68="", "", TEXT(IF(L68="", 0, (((0.018 * D68^2) + (IF(L68="Trail", 0.0065, 0.005) * (F68+G68)) + (0.11 * (F68+G68) * _xlfn.IFS(L68="Urban", 0, L68="Suburban", 0.015, L68="City Hills", 0.045, L68="Trail", 0.02))) / 0.55)), "0.0"))</f>
        <v/>
      </c>
      <c r="P68" s="18"/>
      <c r="Q68" s="29"/>
      <c r="R68" s="19"/>
      <c r="S68" s="19"/>
      <c r="T68" s="19"/>
      <c r="U68" s="19"/>
      <c r="V68" s="19"/>
      <c r="W68" s="19"/>
    </row>
    <row r="69" spans="1:23" x14ac:dyDescent="0.35">
      <c r="A69" s="19"/>
      <c r="B69" s="21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29"/>
      <c r="R69" s="19"/>
      <c r="S69" s="19"/>
      <c r="T69" s="19"/>
      <c r="U69" s="19"/>
      <c r="V69" s="19"/>
      <c r="W69" s="19"/>
    </row>
    <row r="70" spans="1:23" x14ac:dyDescent="0.35">
      <c r="B70" s="5"/>
    </row>
    <row r="71" spans="1:23" x14ac:dyDescent="0.35">
      <c r="B71" s="5"/>
    </row>
    <row r="72" spans="1:23" x14ac:dyDescent="0.35">
      <c r="B72" s="5"/>
    </row>
    <row r="73" spans="1:23" x14ac:dyDescent="0.35">
      <c r="B73" s="5"/>
    </row>
    <row r="74" spans="1:23" x14ac:dyDescent="0.35">
      <c r="B74" s="5"/>
    </row>
    <row r="75" spans="1:23" x14ac:dyDescent="0.35">
      <c r="B75" s="5"/>
    </row>
    <row r="76" spans="1:23" x14ac:dyDescent="0.35">
      <c r="B76" s="5"/>
    </row>
    <row r="77" spans="1:23" x14ac:dyDescent="0.35">
      <c r="B77" s="5"/>
    </row>
    <row r="78" spans="1:23" x14ac:dyDescent="0.35">
      <c r="B78" s="5"/>
    </row>
    <row r="79" spans="1:23" x14ac:dyDescent="0.35">
      <c r="B79" s="5"/>
    </row>
    <row r="80" spans="1:23" x14ac:dyDescent="0.35">
      <c r="B80" s="5"/>
    </row>
    <row r="81" spans="2:2" x14ac:dyDescent="0.35">
      <c r="B81" s="5"/>
    </row>
    <row r="82" spans="2:2" x14ac:dyDescent="0.35">
      <c r="B82" s="5"/>
    </row>
    <row r="83" spans="2:2" x14ac:dyDescent="0.35">
      <c r="B83" s="5"/>
    </row>
    <row r="84" spans="2:2" x14ac:dyDescent="0.35">
      <c r="B84" s="5"/>
    </row>
    <row r="85" spans="2:2" x14ac:dyDescent="0.35">
      <c r="B85" s="5"/>
    </row>
    <row r="86" spans="2:2" x14ac:dyDescent="0.35">
      <c r="B86" s="5"/>
    </row>
    <row r="87" spans="2:2" x14ac:dyDescent="0.35">
      <c r="B87" s="5"/>
    </row>
    <row r="88" spans="2:2" x14ac:dyDescent="0.35">
      <c r="B88" s="5"/>
    </row>
    <row r="89" spans="2:2" x14ac:dyDescent="0.35">
      <c r="B89" s="5"/>
    </row>
    <row r="90" spans="2:2" x14ac:dyDescent="0.35">
      <c r="B90" s="5"/>
    </row>
    <row r="91" spans="2:2" x14ac:dyDescent="0.35">
      <c r="B91" s="5"/>
    </row>
    <row r="92" spans="2:2" x14ac:dyDescent="0.35">
      <c r="B92" s="5"/>
    </row>
    <row r="93" spans="2:2" x14ac:dyDescent="0.35">
      <c r="B93" s="5"/>
    </row>
    <row r="94" spans="2:2" x14ac:dyDescent="0.35">
      <c r="B94" s="5"/>
    </row>
    <row r="95" spans="2:2" x14ac:dyDescent="0.35">
      <c r="B95" s="5"/>
    </row>
    <row r="96" spans="2:2" x14ac:dyDescent="0.35">
      <c r="B96" s="5"/>
    </row>
    <row r="97" spans="2:2" x14ac:dyDescent="0.35">
      <c r="B97" s="5"/>
    </row>
    <row r="98" spans="2:2" x14ac:dyDescent="0.35">
      <c r="B98" s="5"/>
    </row>
    <row r="99" spans="2:2" x14ac:dyDescent="0.35">
      <c r="B99" s="5"/>
    </row>
    <row r="100" spans="2:2" x14ac:dyDescent="0.35">
      <c r="B100" s="5"/>
    </row>
    <row r="101" spans="2:2" x14ac:dyDescent="0.35">
      <c r="B101" s="5"/>
    </row>
    <row r="102" spans="2:2" x14ac:dyDescent="0.35">
      <c r="B102" s="5"/>
    </row>
    <row r="103" spans="2:2" x14ac:dyDescent="0.35">
      <c r="B103" s="5"/>
    </row>
    <row r="104" spans="2:2" x14ac:dyDescent="0.35">
      <c r="B104" s="5"/>
    </row>
    <row r="105" spans="2:2" x14ac:dyDescent="0.35">
      <c r="B105" s="5"/>
    </row>
    <row r="106" spans="2:2" x14ac:dyDescent="0.35">
      <c r="B106" s="5"/>
    </row>
    <row r="107" spans="2:2" x14ac:dyDescent="0.35">
      <c r="B107" s="5"/>
    </row>
    <row r="108" spans="2:2" x14ac:dyDescent="0.35">
      <c r="B108" s="5"/>
    </row>
  </sheetData>
  <mergeCells count="8">
    <mergeCell ref="U9:V11"/>
    <mergeCell ref="F1:G1"/>
    <mergeCell ref="O2:P3"/>
    <mergeCell ref="A3:B3"/>
    <mergeCell ref="R3:T3"/>
    <mergeCell ref="U3:V3"/>
    <mergeCell ref="L2:L3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Van Nocker</dc:creator>
  <cp:lastModifiedBy>Connor Van Nocker</cp:lastModifiedBy>
  <dcterms:created xsi:type="dcterms:W3CDTF">2026-06-21T12:16:47Z</dcterms:created>
  <dcterms:modified xsi:type="dcterms:W3CDTF">2026-06-24T01:15:11Z</dcterms:modified>
</cp:coreProperties>
</file>